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8_{275AC118-30E3-48D3-8DF9-DF255475D908}" xr6:coauthVersionLast="47" xr6:coauthVersionMax="47" xr10:uidLastSave="{00000000-0000-0000-0000-000000000000}"/>
  <bookViews>
    <workbookView xWindow="-108" yWindow="-108" windowWidth="23256" windowHeight="12456" firstSheet="6" activeTab="10" xr2:uid="{ABF18290-3223-401B-98F2-AEB724018DB3}"/>
  </bookViews>
  <sheets>
    <sheet name="Biology" sheetId="1" r:id="rId1"/>
    <sheet name="Chemistry" sheetId="2" r:id="rId2"/>
    <sheet name="Mathematics" sheetId="3" r:id="rId3"/>
    <sheet name="Philosophy" sheetId="4" r:id="rId4"/>
    <sheet name="Physics" sheetId="5" r:id="rId5"/>
    <sheet name="Sociology" sheetId="6" r:id="rId6"/>
    <sheet name="Sheet16" sheetId="23" r:id="rId7"/>
    <sheet name="Sheet17" sheetId="24" r:id="rId8"/>
    <sheet name="Sheet18" sheetId="25" r:id="rId9"/>
    <sheet name="Sheet19" sheetId="26" r:id="rId10"/>
    <sheet name="Additional Details" sheetId="7" r:id="rId11"/>
    <sheet name="Exam_Table" sheetId="9" r:id="rId12"/>
    <sheet name="Dashboard" sheetId="22" r:id="rId13"/>
  </sheets>
  <definedNames>
    <definedName name="_xlnm._FilterDatabase" localSheetId="10" hidden="1">'Additional Details'!$B$1:$AC$1</definedName>
    <definedName name="_xlnm._FilterDatabase" localSheetId="0" hidden="1">Biology!$A$1:$F$1</definedName>
    <definedName name="_xlnm._FilterDatabase" localSheetId="1" hidden="1">Chemistry!$A$1:$F$1</definedName>
    <definedName name="_xlnm._FilterDatabase" localSheetId="2" hidden="1">Mathematics!$A$1:$G$1</definedName>
    <definedName name="_xlnm._FilterDatabase" localSheetId="3" hidden="1">Philosophy!$A$1:$F$1</definedName>
    <definedName name="_xlnm._FilterDatabase" localSheetId="4" hidden="1">Physics!$A$1:$G$1</definedName>
    <definedName name="_xlnm._FilterDatabase" localSheetId="5" hidden="1">Sociology!$A$1:$F$1</definedName>
    <definedName name="Slicer_Student_name1">#N/A</definedName>
  </definedNames>
  <calcPr calcId="191029"/>
  <pivotCaches>
    <pivotCache cacheId="0" r:id="rId14"/>
  </pivotCaches>
  <extLs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3" i="7" l="1"/>
  <c r="M3" i="7" s="1"/>
  <c r="K4" i="7"/>
  <c r="M4" i="7" s="1"/>
  <c r="K5" i="7"/>
  <c r="M5" i="7" s="1"/>
  <c r="K6" i="7"/>
  <c r="M6" i="7" s="1"/>
  <c r="K7" i="7"/>
  <c r="M7" i="7" s="1"/>
  <c r="K8" i="7"/>
  <c r="M8" i="7" s="1"/>
  <c r="K9" i="7"/>
  <c r="M9" i="7" s="1"/>
  <c r="K10" i="7"/>
  <c r="M10" i="7" s="1"/>
  <c r="K11" i="7"/>
  <c r="M11" i="7" s="1"/>
  <c r="K12" i="7"/>
  <c r="M12" i="7" s="1"/>
  <c r="K13" i="7"/>
  <c r="M13" i="7" s="1"/>
  <c r="K14" i="7"/>
  <c r="M14" i="7" s="1"/>
  <c r="K15" i="7"/>
  <c r="M15" i="7" s="1"/>
  <c r="K16" i="7"/>
  <c r="M16" i="7" s="1"/>
  <c r="K17" i="7"/>
  <c r="M17" i="7" s="1"/>
  <c r="K18" i="7"/>
  <c r="M18" i="7" s="1"/>
  <c r="K19" i="7"/>
  <c r="M19" i="7" s="1"/>
  <c r="K20" i="7"/>
  <c r="M20" i="7" s="1"/>
  <c r="K21" i="7"/>
  <c r="M21" i="7" s="1"/>
  <c r="K22" i="7"/>
  <c r="M22" i="7" s="1"/>
  <c r="K23" i="7"/>
  <c r="K24" i="7"/>
  <c r="K25" i="7"/>
  <c r="K26" i="7"/>
  <c r="K27" i="7"/>
  <c r="K28" i="7"/>
  <c r="K29" i="7"/>
  <c r="K30" i="7"/>
  <c r="K31" i="7"/>
  <c r="K32" i="7"/>
  <c r="K33" i="7"/>
  <c r="K34" i="7"/>
  <c r="K35" i="7"/>
  <c r="K36" i="7"/>
  <c r="K37" i="7"/>
  <c r="K38" i="7"/>
  <c r="K39" i="7"/>
  <c r="K40" i="7"/>
  <c r="K2" i="7"/>
  <c r="M2" i="7" s="1"/>
  <c r="L3" i="7"/>
  <c r="L4" i="7"/>
  <c r="L5" i="7"/>
  <c r="L6" i="7"/>
  <c r="L7" i="7"/>
  <c r="L8" i="7"/>
  <c r="L9" i="7"/>
  <c r="L10" i="7"/>
  <c r="L11" i="7"/>
  <c r="L12" i="7"/>
  <c r="L13" i="7"/>
  <c r="L14" i="7"/>
  <c r="L15" i="7"/>
  <c r="L16" i="7"/>
  <c r="L17" i="7"/>
  <c r="L18" i="7"/>
  <c r="L19" i="7"/>
  <c r="L20" i="7"/>
  <c r="L21" i="7"/>
  <c r="L22" i="7"/>
  <c r="L2" i="7"/>
  <c r="P3" i="7"/>
  <c r="R3" i="7" s="1"/>
  <c r="P4" i="7"/>
  <c r="R4" i="7" s="1"/>
  <c r="P5" i="7"/>
  <c r="R5" i="7" s="1"/>
  <c r="P6" i="7"/>
  <c r="R6" i="7" s="1"/>
  <c r="P7" i="7"/>
  <c r="R7" i="7" s="1"/>
  <c r="P8" i="7"/>
  <c r="R8" i="7" s="1"/>
  <c r="P9" i="7"/>
  <c r="R9" i="7" s="1"/>
  <c r="P10" i="7"/>
  <c r="R10" i="7" s="1"/>
  <c r="P11" i="7"/>
  <c r="R11" i="7" s="1"/>
  <c r="P12" i="7"/>
  <c r="R12" i="7" s="1"/>
  <c r="P13" i="7"/>
  <c r="R13" i="7" s="1"/>
  <c r="P14" i="7"/>
  <c r="R14" i="7" s="1"/>
  <c r="P15" i="7"/>
  <c r="R15" i="7" s="1"/>
  <c r="P16" i="7"/>
  <c r="R16" i="7" s="1"/>
  <c r="P17" i="7"/>
  <c r="R17" i="7" s="1"/>
  <c r="P18" i="7"/>
  <c r="R18" i="7" s="1"/>
  <c r="P19" i="7"/>
  <c r="R19" i="7" s="1"/>
  <c r="P20" i="7"/>
  <c r="R20" i="7" s="1"/>
  <c r="P21" i="7"/>
  <c r="R21" i="7" s="1"/>
  <c r="P22" i="7"/>
  <c r="R22" i="7" s="1"/>
  <c r="P23" i="7"/>
  <c r="R23" i="7" s="1"/>
  <c r="P24" i="7"/>
  <c r="R24" i="7" s="1"/>
  <c r="P25" i="7"/>
  <c r="R25" i="7" s="1"/>
  <c r="P26" i="7"/>
  <c r="R26" i="7" s="1"/>
  <c r="P27" i="7"/>
  <c r="R27" i="7" s="1"/>
  <c r="P28" i="7"/>
  <c r="R28" i="7" s="1"/>
  <c r="P29" i="7"/>
  <c r="R29" i="7" s="1"/>
  <c r="P30" i="7"/>
  <c r="R30" i="7" s="1"/>
  <c r="P31" i="7"/>
  <c r="R31" i="7" s="1"/>
  <c r="P32" i="7"/>
  <c r="R32" i="7" s="1"/>
  <c r="P33" i="7"/>
  <c r="R33" i="7" s="1"/>
  <c r="P34" i="7"/>
  <c r="R34" i="7" s="1"/>
  <c r="P35" i="7"/>
  <c r="R35" i="7" s="1"/>
  <c r="P36" i="7"/>
  <c r="R36" i="7" s="1"/>
  <c r="P37" i="7"/>
  <c r="R37" i="7" s="1"/>
  <c r="P38" i="7"/>
  <c r="R38" i="7" s="1"/>
  <c r="P39" i="7"/>
  <c r="R39" i="7" s="1"/>
  <c r="P40" i="7"/>
  <c r="R40" i="7" s="1"/>
  <c r="P2" i="7"/>
  <c r="R2" i="7" s="1"/>
  <c r="I24" i="7"/>
  <c r="L24" i="7" s="1"/>
  <c r="I25" i="7"/>
  <c r="L25" i="7" s="1"/>
  <c r="I26" i="7"/>
  <c r="L26" i="7" s="1"/>
  <c r="I27" i="7"/>
  <c r="L27" i="7" s="1"/>
  <c r="I28" i="7"/>
  <c r="L28" i="7" s="1"/>
  <c r="I29" i="7"/>
  <c r="I30" i="7"/>
  <c r="I31" i="7"/>
  <c r="I32" i="7"/>
  <c r="I33" i="7"/>
  <c r="I34" i="7"/>
  <c r="I35" i="7"/>
  <c r="I36" i="7"/>
  <c r="I37" i="7"/>
  <c r="I38" i="7"/>
  <c r="I39" i="7"/>
  <c r="I40" i="7"/>
  <c r="I23" i="7"/>
  <c r="L23" i="7" s="1"/>
  <c r="F30" i="7"/>
  <c r="F31" i="7"/>
  <c r="F32" i="7"/>
  <c r="F33" i="7"/>
  <c r="F34" i="7"/>
  <c r="F35" i="7"/>
  <c r="F36" i="7"/>
  <c r="F37" i="7"/>
  <c r="F38" i="7"/>
  <c r="F39" i="7"/>
  <c r="F40" i="7"/>
  <c r="F29" i="7"/>
  <c r="L29" i="7" s="1"/>
  <c r="S3" i="7"/>
  <c r="U3" i="7" s="1"/>
  <c r="S4" i="7"/>
  <c r="U4" i="7" s="1"/>
  <c r="S5" i="7"/>
  <c r="U5" i="7" s="1"/>
  <c r="S6" i="7"/>
  <c r="U6" i="7" s="1"/>
  <c r="S7" i="7"/>
  <c r="U7" i="7" s="1"/>
  <c r="S8" i="7"/>
  <c r="U8" i="7" s="1"/>
  <c r="S9" i="7"/>
  <c r="U9" i="7" s="1"/>
  <c r="S10" i="7"/>
  <c r="U10" i="7" s="1"/>
  <c r="S11" i="7"/>
  <c r="U11" i="7" s="1"/>
  <c r="S12" i="7"/>
  <c r="U12" i="7" s="1"/>
  <c r="S13" i="7"/>
  <c r="U13" i="7" s="1"/>
  <c r="S14" i="7"/>
  <c r="U14" i="7" s="1"/>
  <c r="S15" i="7"/>
  <c r="U15" i="7" s="1"/>
  <c r="S16" i="7"/>
  <c r="U16" i="7" s="1"/>
  <c r="S17" i="7"/>
  <c r="U17" i="7" s="1"/>
  <c r="S18" i="7"/>
  <c r="U18" i="7" s="1"/>
  <c r="S19" i="7"/>
  <c r="U19" i="7" s="1"/>
  <c r="S20" i="7"/>
  <c r="U20" i="7" s="1"/>
  <c r="S21" i="7"/>
  <c r="U21" i="7" s="1"/>
  <c r="S22" i="7"/>
  <c r="U22" i="7" s="1"/>
  <c r="S23" i="7"/>
  <c r="U23" i="7" s="1"/>
  <c r="S24" i="7"/>
  <c r="U24" i="7" s="1"/>
  <c r="S25" i="7"/>
  <c r="U25" i="7" s="1"/>
  <c r="S26" i="7"/>
  <c r="U26" i="7" s="1"/>
  <c r="S27" i="7"/>
  <c r="U27" i="7" s="1"/>
  <c r="S28" i="7"/>
  <c r="U28" i="7" s="1"/>
  <c r="S29" i="7"/>
  <c r="U29" i="7" s="1"/>
  <c r="S30" i="7"/>
  <c r="U30" i="7" s="1"/>
  <c r="S31" i="7"/>
  <c r="U31" i="7" s="1"/>
  <c r="S32" i="7"/>
  <c r="U32" i="7" s="1"/>
  <c r="S33" i="7"/>
  <c r="U33" i="7" s="1"/>
  <c r="S34" i="7"/>
  <c r="U34" i="7" s="1"/>
  <c r="S35" i="7"/>
  <c r="U35" i="7" s="1"/>
  <c r="S36" i="7"/>
  <c r="U36" i="7" s="1"/>
  <c r="S37" i="7"/>
  <c r="U37" i="7" s="1"/>
  <c r="S38" i="7"/>
  <c r="U38" i="7" s="1"/>
  <c r="S39" i="7"/>
  <c r="U39" i="7" s="1"/>
  <c r="S40" i="7"/>
  <c r="U40" i="7" s="1"/>
  <c r="S2" i="7"/>
  <c r="U2" i="7" s="1"/>
  <c r="F205" i="9"/>
  <c r="F204" i="9"/>
  <c r="F203" i="9"/>
  <c r="F202" i="9"/>
  <c r="F201" i="9"/>
  <c r="F200" i="9"/>
  <c r="F199" i="9"/>
  <c r="F198" i="9"/>
  <c r="F197" i="9"/>
  <c r="F196" i="9"/>
  <c r="F195" i="9"/>
  <c r="F194" i="9"/>
  <c r="F193" i="9"/>
  <c r="F192" i="9"/>
  <c r="F191" i="9"/>
  <c r="F190" i="9"/>
  <c r="F189" i="9"/>
  <c r="F188" i="9"/>
  <c r="F187" i="9"/>
  <c r="F186" i="9"/>
  <c r="F185" i="9"/>
  <c r="F184" i="9"/>
  <c r="F183" i="9"/>
  <c r="F182" i="9"/>
  <c r="F181" i="9"/>
  <c r="F180" i="9"/>
  <c r="F179" i="9"/>
  <c r="F178" i="9"/>
  <c r="F177" i="9"/>
  <c r="F176" i="9"/>
  <c r="F175" i="9"/>
  <c r="F174" i="9"/>
  <c r="F173" i="9"/>
  <c r="F172" i="9"/>
  <c r="F171" i="9"/>
  <c r="F170" i="9"/>
  <c r="F169" i="9"/>
  <c r="F168" i="9"/>
  <c r="F167" i="9"/>
  <c r="F206" i="9"/>
  <c r="F165" i="9"/>
  <c r="F164" i="9"/>
  <c r="F163" i="9"/>
  <c r="F162" i="9"/>
  <c r="F161" i="9"/>
  <c r="F160" i="9"/>
  <c r="F159" i="9"/>
  <c r="F158" i="9"/>
  <c r="F157" i="9"/>
  <c r="F156" i="9"/>
  <c r="F155" i="9"/>
  <c r="F154" i="9"/>
  <c r="F153" i="9"/>
  <c r="F152" i="9"/>
  <c r="F151" i="9"/>
  <c r="F150" i="9"/>
  <c r="F149" i="9"/>
  <c r="F148" i="9"/>
  <c r="F147" i="9"/>
  <c r="F146" i="9"/>
  <c r="F145" i="9"/>
  <c r="F166" i="9"/>
  <c r="F143" i="9"/>
  <c r="F142" i="9"/>
  <c r="F141" i="9"/>
  <c r="F140" i="9"/>
  <c r="F139" i="9"/>
  <c r="F138" i="9"/>
  <c r="F137" i="9"/>
  <c r="F136" i="9"/>
  <c r="F135" i="9"/>
  <c r="F134" i="9"/>
  <c r="F133" i="9"/>
  <c r="F132" i="9"/>
  <c r="F131" i="9"/>
  <c r="F130" i="9"/>
  <c r="F129" i="9"/>
  <c r="F128" i="9"/>
  <c r="F127" i="9"/>
  <c r="F126" i="9"/>
  <c r="F125" i="9"/>
  <c r="F124" i="9"/>
  <c r="F123" i="9"/>
  <c r="F122" i="9"/>
  <c r="F121" i="9"/>
  <c r="F120" i="9"/>
  <c r="F119" i="9"/>
  <c r="F118" i="9"/>
  <c r="F117" i="9"/>
  <c r="F116" i="9"/>
  <c r="F115" i="9"/>
  <c r="F114" i="9"/>
  <c r="F113" i="9"/>
  <c r="F112" i="9"/>
  <c r="F111" i="9"/>
  <c r="F110" i="9"/>
  <c r="F109" i="9"/>
  <c r="F108" i="9"/>
  <c r="F107" i="9"/>
  <c r="F106" i="9"/>
  <c r="F144" i="9"/>
  <c r="F104" i="9"/>
  <c r="F103" i="9"/>
  <c r="F102" i="9"/>
  <c r="F101" i="9"/>
  <c r="F100" i="9"/>
  <c r="F99" i="9"/>
  <c r="F98" i="9"/>
  <c r="F97" i="9"/>
  <c r="F96" i="9"/>
  <c r="F95" i="9"/>
  <c r="F94" i="9"/>
  <c r="F93" i="9"/>
  <c r="F92" i="9"/>
  <c r="F91" i="9"/>
  <c r="F90" i="9"/>
  <c r="F89" i="9"/>
  <c r="F88" i="9"/>
  <c r="F87" i="9"/>
  <c r="F86" i="9"/>
  <c r="F85" i="9"/>
  <c r="F84" i="9"/>
  <c r="F83" i="9"/>
  <c r="F82" i="9"/>
  <c r="F81" i="9"/>
  <c r="F80" i="9"/>
  <c r="F79" i="9"/>
  <c r="F78" i="9"/>
  <c r="F77" i="9"/>
  <c r="F76" i="9"/>
  <c r="F75" i="9"/>
  <c r="F74" i="9"/>
  <c r="F73" i="9"/>
  <c r="F72" i="9"/>
  <c r="F71" i="9"/>
  <c r="F70" i="9"/>
  <c r="F69" i="9"/>
  <c r="F68" i="9"/>
  <c r="F105" i="9"/>
  <c r="F66" i="9"/>
  <c r="F65" i="9"/>
  <c r="F64" i="9"/>
  <c r="F63" i="9"/>
  <c r="F62" i="9"/>
  <c r="F61" i="9"/>
  <c r="F60" i="9"/>
  <c r="F59" i="9"/>
  <c r="F58" i="9"/>
  <c r="F57" i="9"/>
  <c r="F56" i="9"/>
  <c r="F55" i="9"/>
  <c r="F54" i="9"/>
  <c r="F53" i="9"/>
  <c r="F52" i="9"/>
  <c r="F51" i="9"/>
  <c r="F50" i="9"/>
  <c r="F49" i="9"/>
  <c r="F48" i="9"/>
  <c r="F47" i="9"/>
  <c r="F46" i="9"/>
  <c r="F45" i="9"/>
  <c r="F44" i="9"/>
  <c r="F43" i="9"/>
  <c r="F42" i="9"/>
  <c r="F41" i="9"/>
  <c r="F40" i="9"/>
  <c r="F67" i="9"/>
  <c r="F39" i="9"/>
  <c r="F38" i="9"/>
  <c r="F37" i="9"/>
  <c r="F36" i="9"/>
  <c r="F35" i="9"/>
  <c r="F34" i="9"/>
  <c r="F33" i="9"/>
  <c r="F32" i="9"/>
  <c r="F31" i="9"/>
  <c r="F30" i="9"/>
  <c r="F29" i="9"/>
  <c r="F28" i="9"/>
  <c r="F27" i="9"/>
  <c r="F26" i="9"/>
  <c r="F25" i="9"/>
  <c r="F24" i="9"/>
  <c r="F23" i="9"/>
  <c r="F22" i="9"/>
  <c r="F21" i="9"/>
  <c r="F20" i="9"/>
  <c r="F19" i="9"/>
  <c r="F18" i="9"/>
  <c r="F17" i="9"/>
  <c r="F16" i="9"/>
  <c r="F15" i="9"/>
  <c r="F14" i="9"/>
  <c r="F13" i="9"/>
  <c r="F12" i="9"/>
  <c r="F11" i="9"/>
  <c r="F10" i="9"/>
  <c r="F9" i="9"/>
  <c r="F8" i="9"/>
  <c r="F7" i="9"/>
  <c r="F6" i="9"/>
  <c r="F5" i="9"/>
  <c r="F4" i="9"/>
  <c r="F3" i="9"/>
  <c r="F2" i="9"/>
  <c r="F40" i="6"/>
  <c r="F39" i="6"/>
  <c r="F38" i="6"/>
  <c r="F37" i="6"/>
  <c r="F36" i="6"/>
  <c r="F35" i="6"/>
  <c r="F34" i="6"/>
  <c r="F33" i="6"/>
  <c r="F32" i="6"/>
  <c r="F31" i="6"/>
  <c r="F30" i="6"/>
  <c r="F29" i="6"/>
  <c r="F28" i="6"/>
  <c r="F27" i="6"/>
  <c r="F26" i="6"/>
  <c r="F25" i="6"/>
  <c r="F24" i="6"/>
  <c r="F23" i="6"/>
  <c r="F22" i="6"/>
  <c r="F21" i="6"/>
  <c r="F20" i="6"/>
  <c r="F19" i="6"/>
  <c r="F18" i="6"/>
  <c r="F17" i="6"/>
  <c r="F16" i="6"/>
  <c r="F15" i="6"/>
  <c r="F14" i="6"/>
  <c r="F13" i="6"/>
  <c r="F12" i="6"/>
  <c r="F11" i="6"/>
  <c r="F10" i="6"/>
  <c r="F9" i="6"/>
  <c r="F8" i="6"/>
  <c r="F7" i="6"/>
  <c r="F6" i="6"/>
  <c r="F5" i="6"/>
  <c r="F4" i="6"/>
  <c r="F3" i="6"/>
  <c r="F2" i="6"/>
  <c r="F22" i="5"/>
  <c r="F21" i="5"/>
  <c r="F20" i="5"/>
  <c r="F19" i="5"/>
  <c r="F18" i="5"/>
  <c r="F17" i="5"/>
  <c r="F16" i="5"/>
  <c r="F15" i="5"/>
  <c r="F14" i="5"/>
  <c r="F13" i="5"/>
  <c r="F12" i="5"/>
  <c r="F11" i="5"/>
  <c r="F10" i="5"/>
  <c r="F9" i="5"/>
  <c r="F8" i="5"/>
  <c r="F7" i="5"/>
  <c r="F6" i="5"/>
  <c r="F5" i="5"/>
  <c r="F4" i="5"/>
  <c r="F3" i="5"/>
  <c r="F2" i="5"/>
  <c r="F39" i="4"/>
  <c r="F3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F6" i="4"/>
  <c r="F5" i="4"/>
  <c r="F4" i="4"/>
  <c r="F3" i="4"/>
  <c r="F2" i="4"/>
  <c r="F38" i="3"/>
  <c r="F37" i="3"/>
  <c r="F36" i="3"/>
  <c r="F35" i="3"/>
  <c r="F34" i="3"/>
  <c r="F33" i="3"/>
  <c r="F32" i="3"/>
  <c r="F31" i="3"/>
  <c r="F30" i="3"/>
  <c r="F29" i="3"/>
  <c r="F28" i="3"/>
  <c r="F27" i="3"/>
  <c r="F26" i="3"/>
  <c r="F25" i="3"/>
  <c r="F24" i="3"/>
  <c r="F23" i="3"/>
  <c r="F22" i="3"/>
  <c r="F21" i="3"/>
  <c r="F20" i="3"/>
  <c r="F19" i="3"/>
  <c r="F18" i="3"/>
  <c r="F17" i="3"/>
  <c r="F16" i="3"/>
  <c r="F15" i="3"/>
  <c r="F14" i="3"/>
  <c r="F13" i="3"/>
  <c r="F12" i="3"/>
  <c r="F11" i="3"/>
  <c r="F10" i="3"/>
  <c r="F9" i="3"/>
  <c r="F8" i="3"/>
  <c r="F7" i="3"/>
  <c r="F6" i="3"/>
  <c r="F5" i="3"/>
  <c r="F4" i="3"/>
  <c r="F3" i="3"/>
  <c r="F2" i="3"/>
  <c r="F28" i="2"/>
  <c r="F27" i="2"/>
  <c r="F26" i="2"/>
  <c r="F25" i="2"/>
  <c r="F24" i="2"/>
  <c r="F23" i="2"/>
  <c r="F22" i="2"/>
  <c r="F21" i="2"/>
  <c r="F20" i="2"/>
  <c r="F19" i="2"/>
  <c r="F18" i="2"/>
  <c r="F17" i="2"/>
  <c r="F16" i="2"/>
  <c r="F15" i="2"/>
  <c r="F14" i="2"/>
  <c r="F13" i="2"/>
  <c r="F12" i="2"/>
  <c r="F11" i="2"/>
  <c r="F10" i="2"/>
  <c r="F9" i="2"/>
  <c r="F8" i="2"/>
  <c r="F7" i="2"/>
  <c r="F6" i="2"/>
  <c r="F5" i="2"/>
  <c r="F4" i="2"/>
  <c r="F3" i="2"/>
  <c r="F2" i="2"/>
  <c r="F39" i="1"/>
  <c r="F38" i="1"/>
  <c r="F37" i="1"/>
  <c r="F36" i="1"/>
  <c r="F35" i="1"/>
  <c r="F34" i="1"/>
  <c r="F33" i="1"/>
  <c r="F32" i="1"/>
  <c r="F31" i="1"/>
  <c r="F30" i="1"/>
  <c r="F29" i="1"/>
  <c r="F28" i="1"/>
  <c r="F27" i="1"/>
  <c r="F26" i="1"/>
  <c r="F25" i="1"/>
  <c r="F24" i="1"/>
  <c r="F23" i="1"/>
  <c r="F22" i="1"/>
  <c r="F21" i="1"/>
  <c r="F20" i="1"/>
  <c r="F19" i="1"/>
  <c r="F18" i="1"/>
  <c r="F17" i="1"/>
  <c r="F16" i="1"/>
  <c r="F15" i="1"/>
  <c r="F14" i="1"/>
  <c r="F13" i="1"/>
  <c r="F12" i="1"/>
  <c r="F11" i="1"/>
  <c r="F10" i="1"/>
  <c r="F9" i="1"/>
  <c r="F8" i="1"/>
  <c r="F7" i="1"/>
  <c r="F6" i="1"/>
  <c r="F5" i="1"/>
  <c r="F4" i="1"/>
  <c r="F3" i="1"/>
  <c r="F2" i="1"/>
  <c r="M23" i="7" l="1"/>
  <c r="M24" i="7"/>
  <c r="M29" i="7"/>
  <c r="M26" i="7"/>
  <c r="M25" i="7"/>
  <c r="M28" i="7"/>
  <c r="M27" i="7"/>
  <c r="L36" i="7"/>
  <c r="M36" i="7" s="1"/>
  <c r="L34" i="7"/>
  <c r="M34" i="7" s="1"/>
  <c r="L35" i="7"/>
  <c r="M35" i="7" s="1"/>
  <c r="L40" i="7"/>
  <c r="M40" i="7" s="1"/>
  <c r="L32" i="7"/>
  <c r="M32" i="7" s="1"/>
  <c r="L39" i="7"/>
  <c r="M39" i="7" s="1"/>
  <c r="L31" i="7"/>
  <c r="M31" i="7" s="1"/>
  <c r="L38" i="7"/>
  <c r="M38" i="7" s="1"/>
  <c r="L30" i="7"/>
  <c r="M30" i="7" s="1"/>
  <c r="L37" i="7"/>
  <c r="M37" i="7" s="1"/>
  <c r="L33" i="7"/>
  <c r="M33" i="7" s="1"/>
</calcChain>
</file>

<file path=xl/sharedStrings.xml><?xml version="1.0" encoding="utf-8"?>
<sst xmlns="http://schemas.openxmlformats.org/spreadsheetml/2006/main" count="1430" uniqueCount="101">
  <si>
    <t>StudentID</t>
  </si>
  <si>
    <t>Student name</t>
  </si>
  <si>
    <t>Exam name</t>
  </si>
  <si>
    <t>Exam date</t>
  </si>
  <si>
    <t>Exam points</t>
  </si>
  <si>
    <t>Strengths/weakness</t>
  </si>
  <si>
    <t>James Walker</t>
  </si>
  <si>
    <t>Biology</t>
  </si>
  <si>
    <t>05/06/2016</t>
  </si>
  <si>
    <t>Velma Clemons</t>
  </si>
  <si>
    <t>Kibo Underwood</t>
  </si>
  <si>
    <t>Louis Mcgee</t>
  </si>
  <si>
    <t>Phyllis Paul</t>
  </si>
  <si>
    <t>Zenaida Decker</t>
  </si>
  <si>
    <t>Gillian Tillman</t>
  </si>
  <si>
    <t>Constance Boone</t>
  </si>
  <si>
    <t>Giselle Lancaster</t>
  </si>
  <si>
    <t>Kirsten Mcdowell</t>
  </si>
  <si>
    <t>Solomon Ray</t>
  </si>
  <si>
    <t>John Marshall</t>
  </si>
  <si>
    <t>Merrill Carney</t>
  </si>
  <si>
    <t>Hakeem Gillespie</t>
  </si>
  <si>
    <t>Hayden Boyer</t>
  </si>
  <si>
    <t>Griffin Mcleod</t>
  </si>
  <si>
    <t>Allistair Patton</t>
  </si>
  <si>
    <t>Rina Slater</t>
  </si>
  <si>
    <t>Caldwell Skinner</t>
  </si>
  <si>
    <t>Portia Galloway</t>
  </si>
  <si>
    <t>Noelle Valentine</t>
  </si>
  <si>
    <t>Abel Clay</t>
  </si>
  <si>
    <t>Stephanie Kent</t>
  </si>
  <si>
    <t>Axel Petty</t>
  </si>
  <si>
    <t>Nevada Morales</t>
  </si>
  <si>
    <t>Fuller Bush</t>
  </si>
  <si>
    <t>Quinn Mayo</t>
  </si>
  <si>
    <t>Marcia Shepard</t>
  </si>
  <si>
    <t>Kieran Moody</t>
  </si>
  <si>
    <t>Brielle Thompson</t>
  </si>
  <si>
    <t>Hashim Gay</t>
  </si>
  <si>
    <t>Deborah Roberts</t>
  </si>
  <si>
    <t>Nomlanga Clarke</t>
  </si>
  <si>
    <t>Elaine Downs</t>
  </si>
  <si>
    <t>Christen Ballard</t>
  </si>
  <si>
    <t>Dacey Baxter</t>
  </si>
  <si>
    <t>Nasim Sampson</t>
  </si>
  <si>
    <t>Yoshi Sherman</t>
  </si>
  <si>
    <t>Chemistry</t>
  </si>
  <si>
    <t>15/06/2016</t>
  </si>
  <si>
    <t>Mathematics</t>
  </si>
  <si>
    <t>29/07/2016</t>
  </si>
  <si>
    <t>Philosophy</t>
  </si>
  <si>
    <t>02/06/2016</t>
  </si>
  <si>
    <t>Physics</t>
  </si>
  <si>
    <t>10/06/2016</t>
  </si>
  <si>
    <t>Sociology</t>
  </si>
  <si>
    <t>21/06/2016</t>
  </si>
  <si>
    <t>Stacy Small</t>
  </si>
  <si>
    <t>Age</t>
  </si>
  <si>
    <t>Gender</t>
  </si>
  <si>
    <t>Ethnicity</t>
  </si>
  <si>
    <t>ParentalEducation</t>
  </si>
  <si>
    <t>StudyTimeWeekly</t>
  </si>
  <si>
    <t>Absences</t>
  </si>
  <si>
    <t>Tutoring</t>
  </si>
  <si>
    <t>ParentalSupport</t>
  </si>
  <si>
    <t>Extracurricular</t>
  </si>
  <si>
    <t>Sports</t>
  </si>
  <si>
    <t>Music</t>
  </si>
  <si>
    <t>Volunteering</t>
  </si>
  <si>
    <t>GPA</t>
  </si>
  <si>
    <t>GradeClass</t>
  </si>
  <si>
    <t>Row Labels</t>
  </si>
  <si>
    <t>Grand Total</t>
  </si>
  <si>
    <t>Total days</t>
  </si>
  <si>
    <t>Remaining Absences</t>
  </si>
  <si>
    <t>Sum of Absences</t>
  </si>
  <si>
    <t>sociology</t>
  </si>
  <si>
    <t>Sum of Biology</t>
  </si>
  <si>
    <t>Male</t>
  </si>
  <si>
    <t>female</t>
  </si>
  <si>
    <t>A+</t>
  </si>
  <si>
    <t>A</t>
  </si>
  <si>
    <t>B</t>
  </si>
  <si>
    <t>C</t>
  </si>
  <si>
    <t>Fail</t>
  </si>
  <si>
    <t xml:space="preserve">Total Time </t>
  </si>
  <si>
    <t>Remaining Study</t>
  </si>
  <si>
    <t>Sum of Chemistry</t>
  </si>
  <si>
    <t>Sum of Mathematics</t>
  </si>
  <si>
    <t>Sum of Philosophy</t>
  </si>
  <si>
    <t>Sum of Physics</t>
  </si>
  <si>
    <t>Sum of sociology</t>
  </si>
  <si>
    <t>Sum of StudyTimeWeekly</t>
  </si>
  <si>
    <t>Totalm Percentage</t>
  </si>
  <si>
    <t>Obtained Percentage</t>
  </si>
  <si>
    <t>Remaining Percentage</t>
  </si>
  <si>
    <t>Sum of Obtained Percentage</t>
  </si>
  <si>
    <t>Sum of Totalm Percentage</t>
  </si>
  <si>
    <t>Sum of Total days</t>
  </si>
  <si>
    <t xml:space="preserve">Sum of Total Time </t>
  </si>
  <si>
    <t>FINAL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</si>
</sst>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amily val="2"/>
    </font>
    <font>
      <b/>
      <sz val="11"/>
      <name val="Calibri"/>
      <family val="2"/>
    </font>
    <font>
      <sz val="11"/>
      <name val="Calibri"/>
      <family val="2"/>
    </font>
    <font>
      <b/>
      <sz val="11"/>
      <color theme="1"/>
      <name val="Calibri"/>
      <family val="2"/>
      <scheme val="minor"/>
    </font>
    <font>
      <b/>
      <sz val="24"/>
      <color theme="1"/>
      <name val="Calibri"/>
      <family val="2"/>
      <scheme val="minor"/>
    </font>
  </fonts>
  <fills count="3">
    <fill>
      <patternFill patternType="none"/>
    </fill>
    <fill>
      <patternFill patternType="gray125"/>
    </fill>
    <fill>
      <patternFill patternType="solid">
        <fgColor theme="5" tint="0.39997558519241921"/>
        <bgColor indexed="64"/>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1" fontId="0" fillId="0" borderId="0" xfId="0" applyNumberFormat="1"/>
    <xf numFmtId="0" fontId="3" fillId="0" borderId="0" xfId="0" applyFont="1"/>
    <xf numFmtId="0" fontId="4"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2" fontId="1" fillId="0" borderId="0" xfId="0" applyNumberFormat="1" applyFont="1"/>
    <xf numFmtId="2" fontId="0" fillId="0" borderId="0" xfId="0" applyNumberFormat="1"/>
    <xf numFmtId="0" fontId="5" fillId="2" borderId="0" xfId="0" applyFont="1" applyFill="1"/>
    <xf numFmtId="0" fontId="5" fillId="0" borderId="0" xfId="0" applyFont="1"/>
    <xf numFmtId="0" fontId="0" fillId="0" borderId="0" xfId="0" applyNumberFormat="1"/>
  </cellXfs>
  <cellStyles count="1">
    <cellStyle name="Normal" xfId="0" builtinId="0"/>
  </cellStyles>
  <dxfs count="3">
    <dxf>
      <font>
        <b/>
        <i val="0"/>
        <strike val="0"/>
        <condense val="0"/>
        <extend val="0"/>
        <outline val="0"/>
        <shadow val="0"/>
        <u val="none"/>
        <vertAlign val="baseline"/>
        <sz val="11"/>
        <color auto="1"/>
        <name val="Calibri"/>
        <family val="2"/>
        <scheme val="none"/>
      </font>
    </dxf>
    <dxf>
      <numFmt numFmtId="1" formatCode="0"/>
    </dxf>
    <dxf>
      <font>
        <b/>
        <i val="0"/>
        <strike val="0"/>
        <condense val="0"/>
        <extend val="0"/>
        <outline val="0"/>
        <shadow val="0"/>
        <u val="none"/>
        <vertAlign val="baseline"/>
        <sz val="11"/>
        <color auto="1"/>
        <name val="Calibri"/>
        <family val="2"/>
        <scheme val="none"/>
      </font>
    </dxf>
  </dxfs>
  <tableStyles count="0" defaultTableStyle="TableStyleMedium2" defaultPivotStyle="PivotStyleLight16"/>
  <colors>
    <mruColors>
      <color rgb="FFFF7C80"/>
      <color rgb="FF93CA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[Student_Performance_Dashboard.xlsx]Sheet16!PivotTable16</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Sheet16!$B$3</c:f>
              <c:strCache>
                <c:ptCount val="1"/>
                <c:pt idx="0">
                  <c:v>Sum of Totalm Percentage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Sheet16!$A$4:$A$6</c:f>
              <c:multiLvlStrCache>
                <c:ptCount val="1"/>
                <c:lvl>
                  <c:pt idx="0">
                    <c:v>A</c:v>
                  </c:pt>
                </c:lvl>
                <c:lvl>
                  <c:pt idx="0">
                    <c:v>Giselle Lancaster</c:v>
                  </c:pt>
                </c:lvl>
              </c:multiLvlStrCache>
            </c:multiLvlStrRef>
          </c:cat>
          <c:val>
            <c:numRef>
              <c:f>Sheet16!$B$4:$B$6</c:f>
              <c:numCache>
                <c:formatCode>General</c:formatCode>
                <c:ptCount val="1"/>
                <c:pt idx="0">
                  <c:v>100</c:v>
                </c:pt>
              </c:numCache>
            </c:numRef>
          </c:val>
          <c:extLst>
            <c:ext xmlns:c16="http://schemas.microsoft.com/office/drawing/2014/chart" uri="{C3380CC4-5D6E-409C-BE32-E72D297353CC}">
              <c16:uniqueId val="{00000000-179D-4953-B454-526AA5249E95}"/>
            </c:ext>
          </c:extLst>
        </c:ser>
        <c:ser>
          <c:idx val="1"/>
          <c:order val="1"/>
          <c:tx>
            <c:strRef>
              <c:f>Sheet16!$C$3</c:f>
              <c:strCache>
                <c:ptCount val="1"/>
                <c:pt idx="0">
                  <c:v>Sum of Obtained Percentage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Sheet16!$A$4:$A$6</c:f>
              <c:multiLvlStrCache>
                <c:ptCount val="1"/>
                <c:lvl>
                  <c:pt idx="0">
                    <c:v>A</c:v>
                  </c:pt>
                </c:lvl>
                <c:lvl>
                  <c:pt idx="0">
                    <c:v>Giselle Lancaster</c:v>
                  </c:pt>
                </c:lvl>
              </c:multiLvlStrCache>
            </c:multiLvlStrRef>
          </c:cat>
          <c:val>
            <c:numRef>
              <c:f>Sheet16!$C$4:$C$6</c:f>
              <c:numCache>
                <c:formatCode>0.00</c:formatCode>
                <c:ptCount val="1"/>
                <c:pt idx="0">
                  <c:v>56.833333333333336</c:v>
                </c:pt>
              </c:numCache>
            </c:numRef>
          </c:val>
          <c:extLst>
            <c:ext xmlns:c16="http://schemas.microsoft.com/office/drawing/2014/chart" uri="{C3380CC4-5D6E-409C-BE32-E72D297353CC}">
              <c16:uniqueId val="{00000001-179D-4953-B454-526AA5249E95}"/>
            </c:ext>
          </c:extLst>
        </c:ser>
        <c:dLbls>
          <c:dLblPos val="ctr"/>
          <c:showLegendKey val="0"/>
          <c:showVal val="1"/>
          <c:showCatName val="0"/>
          <c:showSerName val="0"/>
          <c:showPercent val="0"/>
          <c:showBubbleSize val="0"/>
        </c:dLbls>
        <c:gapWidth val="150"/>
        <c:overlap val="100"/>
        <c:axId val="1152376688"/>
        <c:axId val="1152368528"/>
      </c:barChart>
      <c:catAx>
        <c:axId val="1152376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368528"/>
        <c:crosses val="autoZero"/>
        <c:auto val="1"/>
        <c:lblAlgn val="ctr"/>
        <c:lblOffset val="100"/>
        <c:noMultiLvlLbl val="0"/>
      </c:catAx>
      <c:valAx>
        <c:axId val="115236852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376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[Student_Performance_Dashboard.xlsx]Sheet17!PivotTable17</c:name>
    <c:fmtId val="2"/>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Sheet17!$B$3</c:f>
              <c:strCache>
                <c:ptCount val="1"/>
                <c:pt idx="0">
                  <c:v>Sum of Chemistry</c:v>
                </c:pt>
              </c:strCache>
            </c:strRef>
          </c:tx>
          <c:spPr>
            <a:solidFill>
              <a:schemeClr val="accent1"/>
            </a:solidFill>
            <a:ln>
              <a:noFill/>
            </a:ln>
            <a:effectLst/>
            <a:sp3d/>
          </c:spPr>
          <c:invertIfNegative val="0"/>
          <c:cat>
            <c:strRef>
              <c:f>Sheet17!$A$4:$A$5</c:f>
              <c:strCache>
                <c:ptCount val="1"/>
                <c:pt idx="0">
                  <c:v>Giselle Lancaster</c:v>
                </c:pt>
              </c:strCache>
            </c:strRef>
          </c:cat>
          <c:val>
            <c:numRef>
              <c:f>Sheet17!$B$4:$B$5</c:f>
              <c:numCache>
                <c:formatCode>General</c:formatCode>
                <c:ptCount val="1"/>
                <c:pt idx="0">
                  <c:v>46</c:v>
                </c:pt>
              </c:numCache>
            </c:numRef>
          </c:val>
          <c:extLst>
            <c:ext xmlns:c16="http://schemas.microsoft.com/office/drawing/2014/chart" uri="{C3380CC4-5D6E-409C-BE32-E72D297353CC}">
              <c16:uniqueId val="{00000000-21C6-49AD-84B9-7FA8CE99C150}"/>
            </c:ext>
          </c:extLst>
        </c:ser>
        <c:ser>
          <c:idx val="1"/>
          <c:order val="1"/>
          <c:tx>
            <c:strRef>
              <c:f>Sheet17!$C$3</c:f>
              <c:strCache>
                <c:ptCount val="1"/>
                <c:pt idx="0">
                  <c:v>Sum of Mathematics</c:v>
                </c:pt>
              </c:strCache>
            </c:strRef>
          </c:tx>
          <c:spPr>
            <a:solidFill>
              <a:schemeClr val="accent2"/>
            </a:solidFill>
            <a:ln>
              <a:noFill/>
            </a:ln>
            <a:effectLst/>
            <a:sp3d/>
          </c:spPr>
          <c:invertIfNegative val="0"/>
          <c:cat>
            <c:strRef>
              <c:f>Sheet17!$A$4:$A$5</c:f>
              <c:strCache>
                <c:ptCount val="1"/>
                <c:pt idx="0">
                  <c:v>Giselle Lancaster</c:v>
                </c:pt>
              </c:strCache>
            </c:strRef>
          </c:cat>
          <c:val>
            <c:numRef>
              <c:f>Sheet17!$C$4:$C$5</c:f>
              <c:numCache>
                <c:formatCode>General</c:formatCode>
                <c:ptCount val="1"/>
                <c:pt idx="0">
                  <c:v>31</c:v>
                </c:pt>
              </c:numCache>
            </c:numRef>
          </c:val>
          <c:extLst>
            <c:ext xmlns:c16="http://schemas.microsoft.com/office/drawing/2014/chart" uri="{C3380CC4-5D6E-409C-BE32-E72D297353CC}">
              <c16:uniqueId val="{00000001-21C6-49AD-84B9-7FA8CE99C150}"/>
            </c:ext>
          </c:extLst>
        </c:ser>
        <c:ser>
          <c:idx val="2"/>
          <c:order val="2"/>
          <c:tx>
            <c:strRef>
              <c:f>Sheet17!$D$3</c:f>
              <c:strCache>
                <c:ptCount val="1"/>
                <c:pt idx="0">
                  <c:v>Sum of Philosophy</c:v>
                </c:pt>
              </c:strCache>
            </c:strRef>
          </c:tx>
          <c:spPr>
            <a:solidFill>
              <a:schemeClr val="accent3"/>
            </a:solidFill>
            <a:ln>
              <a:noFill/>
            </a:ln>
            <a:effectLst/>
            <a:sp3d/>
          </c:spPr>
          <c:invertIfNegative val="0"/>
          <c:cat>
            <c:strRef>
              <c:f>Sheet17!$A$4:$A$5</c:f>
              <c:strCache>
                <c:ptCount val="1"/>
                <c:pt idx="0">
                  <c:v>Giselle Lancaster</c:v>
                </c:pt>
              </c:strCache>
            </c:strRef>
          </c:cat>
          <c:val>
            <c:numRef>
              <c:f>Sheet17!$D$4:$D$5</c:f>
              <c:numCache>
                <c:formatCode>General</c:formatCode>
                <c:ptCount val="1"/>
                <c:pt idx="0">
                  <c:v>72</c:v>
                </c:pt>
              </c:numCache>
            </c:numRef>
          </c:val>
          <c:extLst>
            <c:ext xmlns:c16="http://schemas.microsoft.com/office/drawing/2014/chart" uri="{C3380CC4-5D6E-409C-BE32-E72D297353CC}">
              <c16:uniqueId val="{00000002-21C6-49AD-84B9-7FA8CE99C150}"/>
            </c:ext>
          </c:extLst>
        </c:ser>
        <c:ser>
          <c:idx val="3"/>
          <c:order val="3"/>
          <c:tx>
            <c:strRef>
              <c:f>Sheet17!$E$3</c:f>
              <c:strCache>
                <c:ptCount val="1"/>
                <c:pt idx="0">
                  <c:v>Sum of Biology</c:v>
                </c:pt>
              </c:strCache>
            </c:strRef>
          </c:tx>
          <c:spPr>
            <a:solidFill>
              <a:schemeClr val="accent4"/>
            </a:solidFill>
            <a:ln>
              <a:noFill/>
            </a:ln>
            <a:effectLst/>
            <a:sp3d/>
          </c:spPr>
          <c:invertIfNegative val="0"/>
          <c:cat>
            <c:strRef>
              <c:f>Sheet17!$A$4:$A$5</c:f>
              <c:strCache>
                <c:ptCount val="1"/>
                <c:pt idx="0">
                  <c:v>Giselle Lancaster</c:v>
                </c:pt>
              </c:strCache>
            </c:strRef>
          </c:cat>
          <c:val>
            <c:numRef>
              <c:f>Sheet17!$E$4:$E$5</c:f>
              <c:numCache>
                <c:formatCode>General</c:formatCode>
                <c:ptCount val="1"/>
                <c:pt idx="0">
                  <c:v>73</c:v>
                </c:pt>
              </c:numCache>
            </c:numRef>
          </c:val>
          <c:extLst>
            <c:ext xmlns:c16="http://schemas.microsoft.com/office/drawing/2014/chart" uri="{C3380CC4-5D6E-409C-BE32-E72D297353CC}">
              <c16:uniqueId val="{00000003-21C6-49AD-84B9-7FA8CE99C150}"/>
            </c:ext>
          </c:extLst>
        </c:ser>
        <c:ser>
          <c:idx val="4"/>
          <c:order val="4"/>
          <c:tx>
            <c:strRef>
              <c:f>Sheet17!$F$3</c:f>
              <c:strCache>
                <c:ptCount val="1"/>
                <c:pt idx="0">
                  <c:v>Sum of Physics</c:v>
                </c:pt>
              </c:strCache>
            </c:strRef>
          </c:tx>
          <c:spPr>
            <a:solidFill>
              <a:schemeClr val="accent5"/>
            </a:solidFill>
            <a:ln>
              <a:noFill/>
            </a:ln>
            <a:effectLst/>
            <a:sp3d/>
          </c:spPr>
          <c:invertIfNegative val="0"/>
          <c:cat>
            <c:strRef>
              <c:f>Sheet17!$A$4:$A$5</c:f>
              <c:strCache>
                <c:ptCount val="1"/>
                <c:pt idx="0">
                  <c:v>Giselle Lancaster</c:v>
                </c:pt>
              </c:strCache>
            </c:strRef>
          </c:cat>
          <c:val>
            <c:numRef>
              <c:f>Sheet17!$F$4:$F$5</c:f>
              <c:numCache>
                <c:formatCode>General</c:formatCode>
                <c:ptCount val="1"/>
                <c:pt idx="0">
                  <c:v>22</c:v>
                </c:pt>
              </c:numCache>
            </c:numRef>
          </c:val>
          <c:extLst>
            <c:ext xmlns:c16="http://schemas.microsoft.com/office/drawing/2014/chart" uri="{C3380CC4-5D6E-409C-BE32-E72D297353CC}">
              <c16:uniqueId val="{00000004-21C6-49AD-84B9-7FA8CE99C150}"/>
            </c:ext>
          </c:extLst>
        </c:ser>
        <c:ser>
          <c:idx val="5"/>
          <c:order val="5"/>
          <c:tx>
            <c:strRef>
              <c:f>Sheet17!$G$3</c:f>
              <c:strCache>
                <c:ptCount val="1"/>
                <c:pt idx="0">
                  <c:v>Sum of sociology</c:v>
                </c:pt>
              </c:strCache>
            </c:strRef>
          </c:tx>
          <c:spPr>
            <a:solidFill>
              <a:schemeClr val="accent6"/>
            </a:solidFill>
            <a:ln>
              <a:noFill/>
            </a:ln>
            <a:effectLst/>
            <a:sp3d/>
          </c:spPr>
          <c:invertIfNegative val="0"/>
          <c:cat>
            <c:strRef>
              <c:f>Sheet17!$A$4:$A$5</c:f>
              <c:strCache>
                <c:ptCount val="1"/>
                <c:pt idx="0">
                  <c:v>Giselle Lancaster</c:v>
                </c:pt>
              </c:strCache>
            </c:strRef>
          </c:cat>
          <c:val>
            <c:numRef>
              <c:f>Sheet17!$G$4:$G$5</c:f>
              <c:numCache>
                <c:formatCode>General</c:formatCode>
                <c:ptCount val="1"/>
                <c:pt idx="0">
                  <c:v>97</c:v>
                </c:pt>
              </c:numCache>
            </c:numRef>
          </c:val>
          <c:extLst>
            <c:ext xmlns:c16="http://schemas.microsoft.com/office/drawing/2014/chart" uri="{C3380CC4-5D6E-409C-BE32-E72D297353CC}">
              <c16:uniqueId val="{00000005-21C6-49AD-84B9-7FA8CE99C150}"/>
            </c:ext>
          </c:extLst>
        </c:ser>
        <c:dLbls>
          <c:showLegendKey val="0"/>
          <c:showVal val="0"/>
          <c:showCatName val="0"/>
          <c:showSerName val="0"/>
          <c:showPercent val="0"/>
          <c:showBubbleSize val="0"/>
        </c:dLbls>
        <c:gapWidth val="150"/>
        <c:shape val="box"/>
        <c:axId val="1943622240"/>
        <c:axId val="1943628480"/>
        <c:axId val="0"/>
      </c:bar3DChart>
      <c:catAx>
        <c:axId val="19436222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3628480"/>
        <c:crosses val="autoZero"/>
        <c:auto val="1"/>
        <c:lblAlgn val="ctr"/>
        <c:lblOffset val="100"/>
        <c:noMultiLvlLbl val="0"/>
      </c:catAx>
      <c:valAx>
        <c:axId val="1943628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3622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[Student_Performance_Dashboard.xlsx]Sheet18!PivotTable18</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manualLayout>
          <c:layoutTarget val="inner"/>
          <c:xMode val="edge"/>
          <c:yMode val="edge"/>
          <c:x val="0.20036417322834646"/>
          <c:y val="0.27717373869932921"/>
          <c:w val="0.35653040244969381"/>
          <c:h val="0.59421733741615634"/>
        </c:manualLayout>
      </c:layout>
      <c:pieChart>
        <c:varyColors val="1"/>
        <c:ser>
          <c:idx val="0"/>
          <c:order val="0"/>
          <c:tx>
            <c:strRef>
              <c:f>Sheet18!$B$3</c:f>
              <c:strCache>
                <c:ptCount val="1"/>
                <c:pt idx="0">
                  <c:v>Sum of Total days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6E0-4D3B-AFB3-012911800A55}"/>
              </c:ext>
            </c:extLst>
          </c:dPt>
          <c:cat>
            <c:strRef>
              <c:f>Sheet18!$A$4:$A$5</c:f>
              <c:strCache>
                <c:ptCount val="1"/>
                <c:pt idx="0">
                  <c:v>Giselle Lancaster</c:v>
                </c:pt>
              </c:strCache>
            </c:strRef>
          </c:cat>
          <c:val>
            <c:numRef>
              <c:f>Sheet18!$B$4:$B$5</c:f>
              <c:numCache>
                <c:formatCode>General</c:formatCode>
                <c:ptCount val="1"/>
                <c:pt idx="0">
                  <c:v>100</c:v>
                </c:pt>
              </c:numCache>
            </c:numRef>
          </c:val>
          <c:extLst>
            <c:ext xmlns:c16="http://schemas.microsoft.com/office/drawing/2014/chart" uri="{C3380CC4-5D6E-409C-BE32-E72D297353CC}">
              <c16:uniqueId val="{00000000-7E65-4810-8714-F9C185A02629}"/>
            </c:ext>
          </c:extLst>
        </c:ser>
        <c:ser>
          <c:idx val="1"/>
          <c:order val="1"/>
          <c:tx>
            <c:strRef>
              <c:f>Sheet18!$C$3</c:f>
              <c:strCache>
                <c:ptCount val="1"/>
                <c:pt idx="0">
                  <c:v>Sum of Absences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06E0-4D3B-AFB3-012911800A55}"/>
              </c:ext>
            </c:extLst>
          </c:dPt>
          <c:cat>
            <c:strRef>
              <c:f>Sheet18!$A$4:$A$5</c:f>
              <c:strCache>
                <c:ptCount val="1"/>
                <c:pt idx="0">
                  <c:v>Giselle Lancaster</c:v>
                </c:pt>
              </c:strCache>
            </c:strRef>
          </c:cat>
          <c:val>
            <c:numRef>
              <c:f>Sheet18!$C$4:$C$5</c:f>
              <c:numCache>
                <c:formatCode>General</c:formatCode>
                <c:ptCount val="1"/>
                <c:pt idx="0">
                  <c:v>1</c:v>
                </c:pt>
              </c:numCache>
            </c:numRef>
          </c:val>
          <c:extLst>
            <c:ext xmlns:c16="http://schemas.microsoft.com/office/drawing/2014/chart" uri="{C3380CC4-5D6E-409C-BE32-E72D297353CC}">
              <c16:uniqueId val="{00000001-7E65-4810-8714-F9C185A0262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[Student_Performance_Dashboard.xlsx]Sheet19!PivotTable19</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Sheet19!$B$3</c:f>
              <c:strCache>
                <c:ptCount val="1"/>
                <c:pt idx="0">
                  <c:v>Sum of Total Time </c:v>
                </c:pt>
              </c:strCache>
            </c:strRef>
          </c:tx>
          <c:spPr>
            <a:solidFill>
              <a:schemeClr val="accent1"/>
            </a:solidFill>
            <a:ln>
              <a:noFill/>
            </a:ln>
            <a:effectLst/>
          </c:spPr>
          <c:invertIfNegative val="0"/>
          <c:cat>
            <c:strRef>
              <c:f>Sheet19!$A$4:$A$5</c:f>
              <c:strCache>
                <c:ptCount val="1"/>
                <c:pt idx="0">
                  <c:v>Giselle Lancaster</c:v>
                </c:pt>
              </c:strCache>
            </c:strRef>
          </c:cat>
          <c:val>
            <c:numRef>
              <c:f>Sheet19!$B$4:$B$5</c:f>
              <c:numCache>
                <c:formatCode>General</c:formatCode>
                <c:ptCount val="1"/>
                <c:pt idx="0">
                  <c:v>25</c:v>
                </c:pt>
              </c:numCache>
            </c:numRef>
          </c:val>
          <c:extLst>
            <c:ext xmlns:c16="http://schemas.microsoft.com/office/drawing/2014/chart" uri="{C3380CC4-5D6E-409C-BE32-E72D297353CC}">
              <c16:uniqueId val="{00000000-81E6-49EA-98BA-62F1C105A66C}"/>
            </c:ext>
          </c:extLst>
        </c:ser>
        <c:dLbls>
          <c:showLegendKey val="0"/>
          <c:showVal val="0"/>
          <c:showCatName val="0"/>
          <c:showSerName val="0"/>
          <c:showPercent val="0"/>
          <c:showBubbleSize val="0"/>
        </c:dLbls>
        <c:gapWidth val="150"/>
        <c:axId val="1078975888"/>
        <c:axId val="1078973968"/>
      </c:barChart>
      <c:lineChart>
        <c:grouping val="standard"/>
        <c:varyColors val="0"/>
        <c:ser>
          <c:idx val="1"/>
          <c:order val="1"/>
          <c:tx>
            <c:strRef>
              <c:f>Sheet19!$C$3</c:f>
              <c:strCache>
                <c:ptCount val="1"/>
                <c:pt idx="0">
                  <c:v>Sum of StudyTimeWeekly</c:v>
                </c:pt>
              </c:strCache>
            </c:strRef>
          </c:tx>
          <c:spPr>
            <a:ln w="28575" cap="rnd">
              <a:solidFill>
                <a:schemeClr val="accent2"/>
              </a:solidFill>
              <a:round/>
            </a:ln>
            <a:effectLst/>
          </c:spPr>
          <c:marker>
            <c:symbol val="none"/>
          </c:marker>
          <c:cat>
            <c:strRef>
              <c:f>Sheet19!$A$4:$A$5</c:f>
              <c:strCache>
                <c:ptCount val="1"/>
                <c:pt idx="0">
                  <c:v>Giselle Lancaster</c:v>
                </c:pt>
              </c:strCache>
            </c:strRef>
          </c:cat>
          <c:val>
            <c:numRef>
              <c:f>Sheet19!$C$4:$C$5</c:f>
              <c:numCache>
                <c:formatCode>0.00</c:formatCode>
                <c:ptCount val="1"/>
                <c:pt idx="0">
                  <c:v>4.5620075580477</c:v>
                </c:pt>
              </c:numCache>
            </c:numRef>
          </c:val>
          <c:smooth val="0"/>
          <c:extLst>
            <c:ext xmlns:c16="http://schemas.microsoft.com/office/drawing/2014/chart" uri="{C3380CC4-5D6E-409C-BE32-E72D297353CC}">
              <c16:uniqueId val="{00000001-81E6-49EA-98BA-62F1C105A66C}"/>
            </c:ext>
          </c:extLst>
        </c:ser>
        <c:dLbls>
          <c:showLegendKey val="0"/>
          <c:showVal val="0"/>
          <c:showCatName val="0"/>
          <c:showSerName val="0"/>
          <c:showPercent val="0"/>
          <c:showBubbleSize val="0"/>
        </c:dLbls>
        <c:marker val="1"/>
        <c:smooth val="0"/>
        <c:axId val="1078975888"/>
        <c:axId val="1078973968"/>
      </c:lineChart>
      <c:catAx>
        <c:axId val="1078975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8973968"/>
        <c:crosses val="autoZero"/>
        <c:auto val="1"/>
        <c:lblAlgn val="ctr"/>
        <c:lblOffset val="100"/>
        <c:noMultiLvlLbl val="0"/>
      </c:catAx>
      <c:valAx>
        <c:axId val="1078973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8975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[Student_Performance_Dashboard.xlsx]Sheet16!PivotTable16</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672246489261834"/>
          <c:y val="0.16500273914358837"/>
          <c:w val="0.22373532003755006"/>
          <c:h val="0.71974145755145091"/>
        </c:manualLayout>
      </c:layout>
      <c:barChart>
        <c:barDir val="bar"/>
        <c:grouping val="percentStacked"/>
        <c:varyColors val="0"/>
        <c:ser>
          <c:idx val="0"/>
          <c:order val="0"/>
          <c:tx>
            <c:strRef>
              <c:f>Sheet16!$B$3</c:f>
              <c:strCache>
                <c:ptCount val="1"/>
                <c:pt idx="0">
                  <c:v>Sum of Totalm Percentage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Sheet16!$A$4:$A$6</c:f>
              <c:multiLvlStrCache>
                <c:ptCount val="1"/>
                <c:lvl>
                  <c:pt idx="0">
                    <c:v>A</c:v>
                  </c:pt>
                </c:lvl>
                <c:lvl>
                  <c:pt idx="0">
                    <c:v>Giselle Lancaster</c:v>
                  </c:pt>
                </c:lvl>
              </c:multiLvlStrCache>
            </c:multiLvlStrRef>
          </c:cat>
          <c:val>
            <c:numRef>
              <c:f>Sheet16!$B$4:$B$6</c:f>
              <c:numCache>
                <c:formatCode>General</c:formatCode>
                <c:ptCount val="1"/>
                <c:pt idx="0">
                  <c:v>100</c:v>
                </c:pt>
              </c:numCache>
            </c:numRef>
          </c:val>
          <c:extLst>
            <c:ext xmlns:c16="http://schemas.microsoft.com/office/drawing/2014/chart" uri="{C3380CC4-5D6E-409C-BE32-E72D297353CC}">
              <c16:uniqueId val="{00000000-B1A9-4E64-A75D-2C5196D0AFA2}"/>
            </c:ext>
          </c:extLst>
        </c:ser>
        <c:ser>
          <c:idx val="1"/>
          <c:order val="1"/>
          <c:tx>
            <c:strRef>
              <c:f>Sheet16!$C$3</c:f>
              <c:strCache>
                <c:ptCount val="1"/>
                <c:pt idx="0">
                  <c:v>Sum of Obtained Percentage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Sheet16!$A$4:$A$6</c:f>
              <c:multiLvlStrCache>
                <c:ptCount val="1"/>
                <c:lvl>
                  <c:pt idx="0">
                    <c:v>A</c:v>
                  </c:pt>
                </c:lvl>
                <c:lvl>
                  <c:pt idx="0">
                    <c:v>Giselle Lancaster</c:v>
                  </c:pt>
                </c:lvl>
              </c:multiLvlStrCache>
            </c:multiLvlStrRef>
          </c:cat>
          <c:val>
            <c:numRef>
              <c:f>Sheet16!$C$4:$C$6</c:f>
              <c:numCache>
                <c:formatCode>0.00</c:formatCode>
                <c:ptCount val="1"/>
                <c:pt idx="0">
                  <c:v>56.833333333333336</c:v>
                </c:pt>
              </c:numCache>
            </c:numRef>
          </c:val>
          <c:extLst>
            <c:ext xmlns:c16="http://schemas.microsoft.com/office/drawing/2014/chart" uri="{C3380CC4-5D6E-409C-BE32-E72D297353CC}">
              <c16:uniqueId val="{00000001-B1A9-4E64-A75D-2C5196D0AFA2}"/>
            </c:ext>
          </c:extLst>
        </c:ser>
        <c:dLbls>
          <c:dLblPos val="ctr"/>
          <c:showLegendKey val="0"/>
          <c:showVal val="1"/>
          <c:showCatName val="0"/>
          <c:showSerName val="0"/>
          <c:showPercent val="0"/>
          <c:showBubbleSize val="0"/>
        </c:dLbls>
        <c:gapWidth val="150"/>
        <c:overlap val="100"/>
        <c:axId val="1152376688"/>
        <c:axId val="1152368528"/>
      </c:barChart>
      <c:catAx>
        <c:axId val="11523766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368528"/>
        <c:crosses val="autoZero"/>
        <c:auto val="1"/>
        <c:lblAlgn val="ctr"/>
        <c:lblOffset val="100"/>
        <c:noMultiLvlLbl val="0"/>
      </c:catAx>
      <c:valAx>
        <c:axId val="115236852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376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[Student_Performance_Dashboard.xlsx]Sheet17!PivotTable17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Marks Distribution</a:t>
            </a:r>
          </a:p>
        </c:rich>
      </c:tx>
      <c:layout>
        <c:manualLayout>
          <c:xMode val="edge"/>
          <c:yMode val="edge"/>
          <c:x val="0.35600823497944806"/>
          <c:y val="2.9084062120693409E-3"/>
        </c:manualLayout>
      </c:layout>
      <c:overlay val="0"/>
      <c:spPr>
        <a:solidFill>
          <a:schemeClr val="accent5">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926509186351712E-2"/>
          <c:y val="0.11335414969680514"/>
          <c:w val="0.55262290644162759"/>
          <c:h val="0.791219366809918"/>
        </c:manualLayout>
      </c:layout>
      <c:barChart>
        <c:barDir val="col"/>
        <c:grouping val="clustered"/>
        <c:varyColors val="0"/>
        <c:ser>
          <c:idx val="0"/>
          <c:order val="0"/>
          <c:tx>
            <c:strRef>
              <c:f>Sheet17!$B$3</c:f>
              <c:strCache>
                <c:ptCount val="1"/>
                <c:pt idx="0">
                  <c:v>Sum of Chemistry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Sheet17!$A$4:$A$5</c:f>
              <c:strCache>
                <c:ptCount val="1"/>
                <c:pt idx="0">
                  <c:v>Giselle Lancaster</c:v>
                </c:pt>
              </c:strCache>
            </c:strRef>
          </c:cat>
          <c:val>
            <c:numRef>
              <c:f>Sheet17!$B$4:$B$5</c:f>
              <c:numCache>
                <c:formatCode>General</c:formatCode>
                <c:ptCount val="1"/>
                <c:pt idx="0">
                  <c:v>46</c:v>
                </c:pt>
              </c:numCache>
            </c:numRef>
          </c:val>
          <c:extLst>
            <c:ext xmlns:c16="http://schemas.microsoft.com/office/drawing/2014/chart" uri="{C3380CC4-5D6E-409C-BE32-E72D297353CC}">
              <c16:uniqueId val="{00000000-C67C-463E-AF68-6B4E153144C5}"/>
            </c:ext>
          </c:extLst>
        </c:ser>
        <c:ser>
          <c:idx val="1"/>
          <c:order val="1"/>
          <c:tx>
            <c:strRef>
              <c:f>Sheet17!$C$3</c:f>
              <c:strCache>
                <c:ptCount val="1"/>
                <c:pt idx="0">
                  <c:v>Sum of Mathematics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Sheet17!$A$4:$A$5</c:f>
              <c:strCache>
                <c:ptCount val="1"/>
                <c:pt idx="0">
                  <c:v>Giselle Lancaster</c:v>
                </c:pt>
              </c:strCache>
            </c:strRef>
          </c:cat>
          <c:val>
            <c:numRef>
              <c:f>Sheet17!$C$4:$C$5</c:f>
              <c:numCache>
                <c:formatCode>General</c:formatCode>
                <c:ptCount val="1"/>
                <c:pt idx="0">
                  <c:v>31</c:v>
                </c:pt>
              </c:numCache>
            </c:numRef>
          </c:val>
          <c:extLst>
            <c:ext xmlns:c16="http://schemas.microsoft.com/office/drawing/2014/chart" uri="{C3380CC4-5D6E-409C-BE32-E72D297353CC}">
              <c16:uniqueId val="{00000001-C67C-463E-AF68-6B4E153144C5}"/>
            </c:ext>
          </c:extLst>
        </c:ser>
        <c:ser>
          <c:idx val="2"/>
          <c:order val="2"/>
          <c:tx>
            <c:strRef>
              <c:f>Sheet17!$D$3</c:f>
              <c:strCache>
                <c:ptCount val="1"/>
                <c:pt idx="0">
                  <c:v>Sum of Philosophy</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Sheet17!$A$4:$A$5</c:f>
              <c:strCache>
                <c:ptCount val="1"/>
                <c:pt idx="0">
                  <c:v>Giselle Lancaster</c:v>
                </c:pt>
              </c:strCache>
            </c:strRef>
          </c:cat>
          <c:val>
            <c:numRef>
              <c:f>Sheet17!$D$4:$D$5</c:f>
              <c:numCache>
                <c:formatCode>General</c:formatCode>
                <c:ptCount val="1"/>
                <c:pt idx="0">
                  <c:v>72</c:v>
                </c:pt>
              </c:numCache>
            </c:numRef>
          </c:val>
          <c:extLst>
            <c:ext xmlns:c16="http://schemas.microsoft.com/office/drawing/2014/chart" uri="{C3380CC4-5D6E-409C-BE32-E72D297353CC}">
              <c16:uniqueId val="{00000002-C67C-463E-AF68-6B4E153144C5}"/>
            </c:ext>
          </c:extLst>
        </c:ser>
        <c:ser>
          <c:idx val="3"/>
          <c:order val="3"/>
          <c:tx>
            <c:strRef>
              <c:f>Sheet17!$E$3</c:f>
              <c:strCache>
                <c:ptCount val="1"/>
                <c:pt idx="0">
                  <c:v>Sum of Biology</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Sheet17!$A$4:$A$5</c:f>
              <c:strCache>
                <c:ptCount val="1"/>
                <c:pt idx="0">
                  <c:v>Giselle Lancaster</c:v>
                </c:pt>
              </c:strCache>
            </c:strRef>
          </c:cat>
          <c:val>
            <c:numRef>
              <c:f>Sheet17!$E$4:$E$5</c:f>
              <c:numCache>
                <c:formatCode>General</c:formatCode>
                <c:ptCount val="1"/>
                <c:pt idx="0">
                  <c:v>73</c:v>
                </c:pt>
              </c:numCache>
            </c:numRef>
          </c:val>
          <c:extLst>
            <c:ext xmlns:c16="http://schemas.microsoft.com/office/drawing/2014/chart" uri="{C3380CC4-5D6E-409C-BE32-E72D297353CC}">
              <c16:uniqueId val="{00000003-C67C-463E-AF68-6B4E153144C5}"/>
            </c:ext>
          </c:extLst>
        </c:ser>
        <c:ser>
          <c:idx val="4"/>
          <c:order val="4"/>
          <c:tx>
            <c:strRef>
              <c:f>Sheet17!$F$3</c:f>
              <c:strCache>
                <c:ptCount val="1"/>
                <c:pt idx="0">
                  <c:v>Sum of Physics</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Sheet17!$A$4:$A$5</c:f>
              <c:strCache>
                <c:ptCount val="1"/>
                <c:pt idx="0">
                  <c:v>Giselle Lancaster</c:v>
                </c:pt>
              </c:strCache>
            </c:strRef>
          </c:cat>
          <c:val>
            <c:numRef>
              <c:f>Sheet17!$F$4:$F$5</c:f>
              <c:numCache>
                <c:formatCode>General</c:formatCode>
                <c:ptCount val="1"/>
                <c:pt idx="0">
                  <c:v>22</c:v>
                </c:pt>
              </c:numCache>
            </c:numRef>
          </c:val>
          <c:extLst>
            <c:ext xmlns:c16="http://schemas.microsoft.com/office/drawing/2014/chart" uri="{C3380CC4-5D6E-409C-BE32-E72D297353CC}">
              <c16:uniqueId val="{00000004-C67C-463E-AF68-6B4E153144C5}"/>
            </c:ext>
          </c:extLst>
        </c:ser>
        <c:ser>
          <c:idx val="5"/>
          <c:order val="5"/>
          <c:tx>
            <c:strRef>
              <c:f>Sheet17!$G$3</c:f>
              <c:strCache>
                <c:ptCount val="1"/>
                <c:pt idx="0">
                  <c:v>Sum of sociology</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Sheet17!$A$4:$A$5</c:f>
              <c:strCache>
                <c:ptCount val="1"/>
                <c:pt idx="0">
                  <c:v>Giselle Lancaster</c:v>
                </c:pt>
              </c:strCache>
            </c:strRef>
          </c:cat>
          <c:val>
            <c:numRef>
              <c:f>Sheet17!$G$4:$G$5</c:f>
              <c:numCache>
                <c:formatCode>General</c:formatCode>
                <c:ptCount val="1"/>
                <c:pt idx="0">
                  <c:v>97</c:v>
                </c:pt>
              </c:numCache>
            </c:numRef>
          </c:val>
          <c:extLst>
            <c:ext xmlns:c16="http://schemas.microsoft.com/office/drawing/2014/chart" uri="{C3380CC4-5D6E-409C-BE32-E72D297353CC}">
              <c16:uniqueId val="{00000005-C67C-463E-AF68-6B4E153144C5}"/>
            </c:ext>
          </c:extLst>
        </c:ser>
        <c:dLbls>
          <c:showLegendKey val="0"/>
          <c:showVal val="1"/>
          <c:showCatName val="0"/>
          <c:showSerName val="0"/>
          <c:showPercent val="0"/>
          <c:showBubbleSize val="0"/>
        </c:dLbls>
        <c:gapWidth val="150"/>
        <c:axId val="1943622240"/>
        <c:axId val="1943628480"/>
      </c:barChart>
      <c:catAx>
        <c:axId val="19436222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3628480"/>
        <c:crosses val="autoZero"/>
        <c:auto val="1"/>
        <c:lblAlgn val="ctr"/>
        <c:lblOffset val="100"/>
        <c:noMultiLvlLbl val="0"/>
      </c:catAx>
      <c:valAx>
        <c:axId val="1943628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3622240"/>
        <c:crosses val="autoZero"/>
        <c:crossBetween val="between"/>
      </c:valAx>
      <c:spPr>
        <a:noFill/>
        <a:ln>
          <a:noFill/>
        </a:ln>
        <a:effectLst/>
      </c:spPr>
    </c:plotArea>
    <c:legend>
      <c:legendPos val="r"/>
      <c:layout>
        <c:manualLayout>
          <c:xMode val="edge"/>
          <c:yMode val="edge"/>
          <c:x val="0.6416063777284251"/>
          <c:y val="0.14819686000788362"/>
          <c:w val="0.32936542077551884"/>
          <c:h val="0.536349507857019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[Student_Performance_Dashboard.xlsx]Sheet18!PivotTable18</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solidFill>
                  <a:schemeClr val="dk1"/>
                </a:solidFill>
                <a:latin typeface="+mn-lt"/>
                <a:ea typeface="+mn-ea"/>
                <a:cs typeface="+mn-cs"/>
              </a:rPr>
              <a:t>Absense</a:t>
            </a:r>
            <a:r>
              <a:rPr lang="en-IN" baseline="0">
                <a:solidFill>
                  <a:schemeClr val="dk1"/>
                </a:solidFill>
                <a:latin typeface="+mn-lt"/>
                <a:ea typeface="+mn-ea"/>
                <a:cs typeface="+mn-cs"/>
              </a:rPr>
              <a:t> Report</a:t>
            </a:r>
            <a:endParaRPr lang="en-IN"/>
          </a:p>
        </c:rich>
      </c:tx>
      <c:layout>
        <c:manualLayout>
          <c:xMode val="edge"/>
          <c:yMode val="edge"/>
          <c:x val="0.30458227728601561"/>
          <c:y val="2.3882876285954865E-2"/>
        </c:manualLayout>
      </c:layout>
      <c:overlay val="0"/>
      <c:spPr>
        <a:gradFill rotWithShape="1">
          <a:gsLst>
            <a:gs pos="0">
              <a:schemeClr val="dk1">
                <a:lumMod val="110000"/>
                <a:satMod val="105000"/>
                <a:tint val="67000"/>
              </a:schemeClr>
            </a:gs>
            <a:gs pos="50000">
              <a:schemeClr val="dk1">
                <a:lumMod val="105000"/>
                <a:satMod val="103000"/>
                <a:tint val="73000"/>
              </a:schemeClr>
            </a:gs>
            <a:gs pos="100000">
              <a:schemeClr val="dk1">
                <a:lumMod val="105000"/>
                <a:satMod val="109000"/>
                <a:tint val="81000"/>
              </a:schemeClr>
            </a:gs>
          </a:gsLst>
          <a:lin ang="5400000" scaled="0"/>
        </a:gradFill>
        <a:ln w="6350" cap="flat" cmpd="sng" algn="ctr">
          <a:solidFill>
            <a:schemeClr val="dk1"/>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19050">
            <a:solidFill>
              <a:schemeClr val="lt1"/>
            </a:solidFill>
          </a:ln>
          <a:effectLst/>
          <a:sp3d contourW="19050">
            <a:contourClr>
              <a:schemeClr val="lt1"/>
            </a:contourClr>
          </a:sp3d>
        </c:spPr>
      </c:pivotFmt>
      <c:pivotFmt>
        <c:idx val="86"/>
        <c:spPr>
          <a:solidFill>
            <a:schemeClr val="accent1"/>
          </a:solidFill>
          <a:ln w="25400">
            <a:solidFill>
              <a:schemeClr val="lt1"/>
            </a:solidFill>
          </a:ln>
          <a:effectLst/>
          <a:sp3d contourW="25400">
            <a:contourClr>
              <a:schemeClr val="lt1"/>
            </a:contourClr>
          </a:sp3d>
        </c:spPr>
      </c:pivotFmt>
      <c:pivotFmt>
        <c:idx val="87"/>
        <c:spPr>
          <a:solidFill>
            <a:schemeClr val="accent1"/>
          </a:solidFill>
          <a:ln w="25400">
            <a:solidFill>
              <a:schemeClr val="lt1"/>
            </a:solidFill>
          </a:ln>
          <a:effectLst/>
          <a:sp3d contourW="25400">
            <a:contourClr>
              <a:schemeClr val="lt1"/>
            </a:contourClr>
          </a:sp3d>
        </c:spPr>
      </c:pivotFmt>
      <c:pivotFmt>
        <c:idx val="88"/>
        <c:spPr>
          <a:solidFill>
            <a:schemeClr val="accent1"/>
          </a:solidFill>
          <a:ln w="25400">
            <a:solidFill>
              <a:schemeClr val="lt1"/>
            </a:solidFill>
          </a:ln>
          <a:effectLst/>
          <a:sp3d contourW="25400">
            <a:contourClr>
              <a:schemeClr val="lt1"/>
            </a:contourClr>
          </a:sp3d>
        </c:spPr>
      </c:pivotFmt>
      <c:pivotFmt>
        <c:idx val="89"/>
        <c:spPr>
          <a:solidFill>
            <a:schemeClr val="accent1"/>
          </a:solidFill>
          <a:ln w="25400">
            <a:solidFill>
              <a:schemeClr val="lt1"/>
            </a:solidFill>
          </a:ln>
          <a:effectLst/>
          <a:sp3d contourW="25400">
            <a:contourClr>
              <a:schemeClr val="lt1"/>
            </a:contourClr>
          </a:sp3d>
        </c:spPr>
      </c:pivotFmt>
      <c:pivotFmt>
        <c:idx val="90"/>
        <c:spPr>
          <a:solidFill>
            <a:schemeClr val="accent1"/>
          </a:solidFill>
          <a:ln w="25400">
            <a:solidFill>
              <a:schemeClr val="lt1"/>
            </a:solidFill>
          </a:ln>
          <a:effectLst/>
          <a:sp3d contourW="25400">
            <a:contourClr>
              <a:schemeClr val="lt1"/>
            </a:contourClr>
          </a:sp3d>
        </c:spPr>
      </c:pivotFmt>
      <c:pivotFmt>
        <c:idx val="91"/>
        <c:spPr>
          <a:solidFill>
            <a:schemeClr val="accent1"/>
          </a:solidFill>
          <a:ln w="25400">
            <a:solidFill>
              <a:schemeClr val="lt1"/>
            </a:solidFill>
          </a:ln>
          <a:effectLst/>
          <a:sp3d contourW="25400">
            <a:contourClr>
              <a:schemeClr val="lt1"/>
            </a:contourClr>
          </a:sp3d>
        </c:spPr>
      </c:pivotFmt>
      <c:pivotFmt>
        <c:idx val="92"/>
        <c:spPr>
          <a:solidFill>
            <a:schemeClr val="accent1"/>
          </a:solidFill>
          <a:ln w="19050">
            <a:solidFill>
              <a:schemeClr val="lt1"/>
            </a:solidFill>
          </a:ln>
          <a:effectLst/>
          <a:sp3d contourW="19050">
            <a:contourClr>
              <a:schemeClr val="lt1"/>
            </a:contourClr>
          </a:sp3d>
        </c:spPr>
      </c:pivotFmt>
      <c:pivotFmt>
        <c:idx val="93"/>
        <c:spPr>
          <a:solidFill>
            <a:schemeClr val="accent1"/>
          </a:solidFill>
          <a:ln w="25400">
            <a:solidFill>
              <a:schemeClr val="lt1"/>
            </a:solidFill>
          </a:ln>
          <a:effectLst/>
          <a:sp3d contourW="25400">
            <a:contourClr>
              <a:schemeClr val="lt1"/>
            </a:contourClr>
          </a:sp3d>
        </c:spPr>
      </c:pivotFmt>
      <c:pivotFmt>
        <c:idx val="94"/>
        <c:spPr>
          <a:solidFill>
            <a:schemeClr val="accent1"/>
          </a:solidFill>
          <a:ln w="25400">
            <a:solidFill>
              <a:schemeClr val="lt1"/>
            </a:solidFill>
          </a:ln>
          <a:effectLst/>
          <a:sp3d contourW="25400">
            <a:contourClr>
              <a:schemeClr val="lt1"/>
            </a:contourClr>
          </a:sp3d>
        </c:spPr>
      </c:pivotFmt>
      <c:pivotFmt>
        <c:idx val="95"/>
        <c:spPr>
          <a:solidFill>
            <a:schemeClr val="accent1"/>
          </a:solidFill>
          <a:ln w="25400">
            <a:solidFill>
              <a:schemeClr val="lt1"/>
            </a:solidFill>
          </a:ln>
          <a:effectLst/>
          <a:sp3d contourW="25400">
            <a:contourClr>
              <a:schemeClr val="lt1"/>
            </a:contourClr>
          </a:sp3d>
        </c:spPr>
      </c:pivotFmt>
      <c:pivotFmt>
        <c:idx val="96"/>
        <c:spPr>
          <a:solidFill>
            <a:schemeClr val="accent1"/>
          </a:solidFill>
          <a:ln w="19050">
            <a:solidFill>
              <a:schemeClr val="lt1"/>
            </a:solidFill>
          </a:ln>
          <a:effectLst/>
          <a:sp3d contourW="19050">
            <a:contourClr>
              <a:schemeClr val="lt1"/>
            </a:contourClr>
          </a:sp3d>
        </c:spPr>
      </c:pivotFmt>
      <c:pivotFmt>
        <c:idx val="97"/>
        <c:spPr>
          <a:solidFill>
            <a:schemeClr val="accent1"/>
          </a:solidFill>
          <a:ln w="19050">
            <a:solidFill>
              <a:schemeClr val="lt1"/>
            </a:solidFill>
          </a:ln>
          <a:effectLst/>
          <a:sp3d contourW="19050">
            <a:contourClr>
              <a:schemeClr val="lt1"/>
            </a:contourClr>
          </a:sp3d>
        </c:spPr>
      </c:pivotFmt>
      <c:pivotFmt>
        <c:idx val="98"/>
        <c:spPr>
          <a:solidFill>
            <a:schemeClr val="accent1"/>
          </a:solidFill>
          <a:ln w="19050">
            <a:solidFill>
              <a:schemeClr val="lt1"/>
            </a:solidFill>
          </a:ln>
          <a:effectLst/>
          <a:sp3d contourW="19050">
            <a:contourClr>
              <a:schemeClr val="lt1"/>
            </a:contourClr>
          </a:sp3d>
        </c:spPr>
      </c:pivotFmt>
      <c:pivotFmt>
        <c:idx val="99"/>
        <c:spPr>
          <a:solidFill>
            <a:schemeClr val="accent1"/>
          </a:solidFill>
          <a:ln w="19050">
            <a:solidFill>
              <a:schemeClr val="lt1"/>
            </a:solidFill>
          </a:ln>
          <a:effectLst/>
          <a:sp3d contourW="19050">
            <a:contourClr>
              <a:schemeClr val="lt1"/>
            </a:contourClr>
          </a:sp3d>
        </c:spPr>
      </c:pivotFmt>
      <c:pivotFmt>
        <c:idx val="100"/>
        <c:spPr>
          <a:solidFill>
            <a:schemeClr val="accent1"/>
          </a:solidFill>
          <a:ln w="19050">
            <a:solidFill>
              <a:schemeClr val="lt1"/>
            </a:solidFill>
          </a:ln>
          <a:effectLst/>
          <a:sp3d contourW="19050">
            <a:contourClr>
              <a:schemeClr val="lt1"/>
            </a:contourClr>
          </a:sp3d>
        </c:spPr>
      </c:pivotFmt>
      <c:pivotFmt>
        <c:idx val="101"/>
        <c:spPr>
          <a:solidFill>
            <a:schemeClr val="accent1"/>
          </a:solidFill>
          <a:ln w="19050">
            <a:solidFill>
              <a:schemeClr val="lt1"/>
            </a:solidFill>
          </a:ln>
          <a:effectLst/>
          <a:sp3d contourW="19050">
            <a:contourClr>
              <a:schemeClr val="lt1"/>
            </a:contourClr>
          </a:sp3d>
        </c:spPr>
      </c:pivotFmt>
      <c:pivotFmt>
        <c:idx val="102"/>
        <c:spPr>
          <a:solidFill>
            <a:schemeClr val="accent1"/>
          </a:solidFill>
          <a:ln w="19050">
            <a:solidFill>
              <a:schemeClr val="lt1"/>
            </a:solidFill>
          </a:ln>
          <a:effectLst/>
          <a:sp3d contourW="19050">
            <a:contourClr>
              <a:schemeClr val="lt1"/>
            </a:contourClr>
          </a:sp3d>
        </c:spPr>
      </c:pivotFmt>
      <c:pivotFmt>
        <c:idx val="103"/>
        <c:spPr>
          <a:solidFill>
            <a:schemeClr val="accent1"/>
          </a:solidFill>
          <a:ln w="19050">
            <a:solidFill>
              <a:schemeClr val="lt1"/>
            </a:solidFill>
          </a:ln>
          <a:effectLst/>
          <a:sp3d contourW="19050">
            <a:contourClr>
              <a:schemeClr val="lt1"/>
            </a:contourClr>
          </a:sp3d>
        </c:spPr>
      </c:pivotFmt>
      <c:pivotFmt>
        <c:idx val="104"/>
        <c:spPr>
          <a:solidFill>
            <a:schemeClr val="accent1"/>
          </a:solidFill>
          <a:ln w="19050">
            <a:solidFill>
              <a:schemeClr val="lt1"/>
            </a:solidFill>
          </a:ln>
          <a:effectLst/>
          <a:sp3d contourW="19050">
            <a:contourClr>
              <a:schemeClr val="lt1"/>
            </a:contourClr>
          </a:sp3d>
        </c:spPr>
      </c:pivotFmt>
      <c:pivotFmt>
        <c:idx val="105"/>
        <c:spPr>
          <a:solidFill>
            <a:schemeClr val="accent1"/>
          </a:solidFill>
          <a:ln w="19050">
            <a:solidFill>
              <a:schemeClr val="lt1"/>
            </a:solidFill>
          </a:ln>
          <a:effectLst/>
          <a:sp3d contourW="19050">
            <a:contourClr>
              <a:schemeClr val="lt1"/>
            </a:contourClr>
          </a:sp3d>
        </c:spPr>
      </c:pivotFmt>
      <c:pivotFmt>
        <c:idx val="106"/>
        <c:spPr>
          <a:solidFill>
            <a:schemeClr val="accent1"/>
          </a:solidFill>
          <a:ln w="19050">
            <a:solidFill>
              <a:schemeClr val="lt1"/>
            </a:solidFill>
          </a:ln>
          <a:effectLst/>
          <a:sp3d contourW="19050">
            <a:contourClr>
              <a:schemeClr val="lt1"/>
            </a:contourClr>
          </a:sp3d>
        </c:spPr>
      </c:pivotFmt>
      <c:pivotFmt>
        <c:idx val="107"/>
        <c:spPr>
          <a:solidFill>
            <a:schemeClr val="accent1"/>
          </a:solidFill>
          <a:ln w="19050">
            <a:solidFill>
              <a:schemeClr val="lt1"/>
            </a:solidFill>
          </a:ln>
          <a:effectLst/>
          <a:sp3d contourW="19050">
            <a:contourClr>
              <a:schemeClr val="lt1"/>
            </a:contourClr>
          </a:sp3d>
        </c:spPr>
      </c:pivotFmt>
      <c:pivotFmt>
        <c:idx val="108"/>
        <c:spPr>
          <a:solidFill>
            <a:schemeClr val="accent1"/>
          </a:solidFill>
          <a:ln w="19050">
            <a:solidFill>
              <a:schemeClr val="lt1"/>
            </a:solidFill>
          </a:ln>
          <a:effectLst/>
          <a:sp3d contourW="19050">
            <a:contourClr>
              <a:schemeClr val="lt1"/>
            </a:contourClr>
          </a:sp3d>
        </c:spPr>
      </c:pivotFmt>
      <c:pivotFmt>
        <c:idx val="109"/>
        <c:spPr>
          <a:solidFill>
            <a:schemeClr val="accent1"/>
          </a:solidFill>
          <a:ln w="19050">
            <a:solidFill>
              <a:schemeClr val="lt1"/>
            </a:solidFill>
          </a:ln>
          <a:effectLst/>
          <a:sp3d contourW="19050">
            <a:contourClr>
              <a:schemeClr val="lt1"/>
            </a:contourClr>
          </a:sp3d>
        </c:spPr>
      </c:pivotFmt>
      <c:pivotFmt>
        <c:idx val="110"/>
        <c:spPr>
          <a:solidFill>
            <a:schemeClr val="accent1"/>
          </a:solidFill>
          <a:ln w="19050">
            <a:solidFill>
              <a:schemeClr val="lt1"/>
            </a:solidFill>
          </a:ln>
          <a:effectLst/>
          <a:sp3d contourW="19050">
            <a:contourClr>
              <a:schemeClr val="lt1"/>
            </a:contourClr>
          </a:sp3d>
        </c:spPr>
      </c:pivotFmt>
      <c:pivotFmt>
        <c:idx val="111"/>
        <c:spPr>
          <a:solidFill>
            <a:schemeClr val="accent1"/>
          </a:solidFill>
          <a:ln w="19050">
            <a:solidFill>
              <a:schemeClr val="lt1"/>
            </a:solidFill>
          </a:ln>
          <a:effectLst/>
          <a:sp3d contourW="19050">
            <a:contourClr>
              <a:schemeClr val="lt1"/>
            </a:contourClr>
          </a:sp3d>
        </c:spPr>
      </c:pivotFmt>
      <c:pivotFmt>
        <c:idx val="112"/>
        <c:spPr>
          <a:solidFill>
            <a:schemeClr val="accent1"/>
          </a:solidFill>
          <a:ln w="19050">
            <a:solidFill>
              <a:schemeClr val="lt1"/>
            </a:solidFill>
          </a:ln>
          <a:effectLst/>
          <a:sp3d contourW="19050">
            <a:contourClr>
              <a:schemeClr val="lt1"/>
            </a:contourClr>
          </a:sp3d>
        </c:spPr>
      </c:pivotFmt>
      <c:pivotFmt>
        <c:idx val="113"/>
        <c:spPr>
          <a:solidFill>
            <a:schemeClr val="accent1"/>
          </a:solidFill>
          <a:ln w="19050">
            <a:solidFill>
              <a:schemeClr val="lt1"/>
            </a:solidFill>
          </a:ln>
          <a:effectLst/>
          <a:sp3d contourW="19050">
            <a:contourClr>
              <a:schemeClr val="lt1"/>
            </a:contourClr>
          </a:sp3d>
        </c:spPr>
      </c:pivotFmt>
      <c:pivotFmt>
        <c:idx val="114"/>
        <c:spPr>
          <a:solidFill>
            <a:schemeClr val="accent1"/>
          </a:solidFill>
          <a:ln w="19050">
            <a:solidFill>
              <a:schemeClr val="lt1"/>
            </a:solidFill>
          </a:ln>
          <a:effectLst/>
          <a:sp3d contourW="19050">
            <a:contourClr>
              <a:schemeClr val="lt1"/>
            </a:contourClr>
          </a:sp3d>
        </c:spPr>
      </c:pivotFmt>
      <c:pivotFmt>
        <c:idx val="115"/>
        <c:spPr>
          <a:solidFill>
            <a:schemeClr val="accent1"/>
          </a:solidFill>
          <a:ln w="19050">
            <a:solidFill>
              <a:schemeClr val="lt1"/>
            </a:solidFill>
          </a:ln>
          <a:effectLst/>
          <a:sp3d contourW="19050">
            <a:contourClr>
              <a:schemeClr val="lt1"/>
            </a:contourClr>
          </a:sp3d>
        </c:spPr>
      </c:pivotFmt>
      <c:pivotFmt>
        <c:idx val="116"/>
        <c:spPr>
          <a:solidFill>
            <a:schemeClr val="accent1"/>
          </a:solidFill>
          <a:ln w="19050">
            <a:solidFill>
              <a:schemeClr val="lt1"/>
            </a:solidFill>
          </a:ln>
          <a:effectLst/>
          <a:sp3d contourW="19050">
            <a:contourClr>
              <a:schemeClr val="lt1"/>
            </a:contourClr>
          </a:sp3d>
        </c:spPr>
      </c:pivotFmt>
      <c:pivotFmt>
        <c:idx val="117"/>
        <c:spPr>
          <a:solidFill>
            <a:schemeClr val="accent1"/>
          </a:solidFill>
          <a:ln w="19050">
            <a:solidFill>
              <a:schemeClr val="lt1"/>
            </a:solidFill>
          </a:ln>
          <a:effectLst/>
          <a:sp3d contourW="19050">
            <a:contourClr>
              <a:schemeClr val="lt1"/>
            </a:contourClr>
          </a:sp3d>
        </c:spPr>
      </c:pivotFmt>
      <c:pivotFmt>
        <c:idx val="118"/>
        <c:spPr>
          <a:solidFill>
            <a:schemeClr val="accent1"/>
          </a:solidFill>
          <a:ln w="19050">
            <a:solidFill>
              <a:schemeClr val="lt1"/>
            </a:solidFill>
          </a:ln>
          <a:effectLst/>
          <a:sp3d contourW="19050">
            <a:contourClr>
              <a:schemeClr val="lt1"/>
            </a:contourClr>
          </a:sp3d>
        </c:spPr>
      </c:pivotFmt>
      <c:pivotFmt>
        <c:idx val="119"/>
        <c:spPr>
          <a:solidFill>
            <a:schemeClr val="accent1"/>
          </a:solidFill>
          <a:ln w="19050">
            <a:solidFill>
              <a:schemeClr val="lt1"/>
            </a:solidFill>
          </a:ln>
          <a:effectLst/>
          <a:sp3d contourW="19050">
            <a:contourClr>
              <a:schemeClr val="lt1"/>
            </a:contourClr>
          </a:sp3d>
        </c:spPr>
      </c:pivotFmt>
      <c:pivotFmt>
        <c:idx val="120"/>
        <c:spPr>
          <a:solidFill>
            <a:schemeClr val="accent1"/>
          </a:solidFill>
          <a:ln w="19050">
            <a:solidFill>
              <a:schemeClr val="lt1"/>
            </a:solidFill>
          </a:ln>
          <a:effectLst/>
          <a:sp3d contourW="19050">
            <a:contourClr>
              <a:schemeClr val="lt1"/>
            </a:contourClr>
          </a:sp3d>
        </c:spPr>
      </c:pivotFmt>
      <c:pivotFmt>
        <c:idx val="121"/>
        <c:spPr>
          <a:solidFill>
            <a:schemeClr val="accent1"/>
          </a:solidFill>
          <a:ln w="19050">
            <a:solidFill>
              <a:schemeClr val="lt1"/>
            </a:solidFill>
          </a:ln>
          <a:effectLst/>
          <a:sp3d contourW="19050">
            <a:contourClr>
              <a:schemeClr val="lt1"/>
            </a:contourClr>
          </a:sp3d>
        </c:spPr>
      </c:pivotFmt>
      <c:pivotFmt>
        <c:idx val="122"/>
        <c:spPr>
          <a:solidFill>
            <a:schemeClr val="accent1"/>
          </a:solidFill>
          <a:ln w="19050">
            <a:solidFill>
              <a:schemeClr val="lt1"/>
            </a:solidFill>
          </a:ln>
          <a:effectLst/>
          <a:sp3d contourW="19050">
            <a:contourClr>
              <a:schemeClr val="lt1"/>
            </a:contourClr>
          </a:sp3d>
        </c:spPr>
      </c:pivotFmt>
      <c:pivotFmt>
        <c:idx val="123"/>
        <c:spPr>
          <a:solidFill>
            <a:schemeClr val="accent1"/>
          </a:solidFill>
          <a:ln w="19050">
            <a:solidFill>
              <a:schemeClr val="lt1"/>
            </a:solidFill>
          </a:ln>
          <a:effectLst/>
          <a:sp3d contourW="19050">
            <a:contourClr>
              <a:schemeClr val="lt1"/>
            </a:contourClr>
          </a:sp3d>
        </c:spPr>
      </c:pivotFmt>
      <c:pivotFmt>
        <c:idx val="124"/>
        <c:spPr>
          <a:solidFill>
            <a:schemeClr val="accent1"/>
          </a:solidFill>
          <a:ln w="19050">
            <a:solidFill>
              <a:schemeClr val="lt1"/>
            </a:solidFill>
          </a:ln>
          <a:effectLst/>
          <a:sp3d contourW="19050">
            <a:contourClr>
              <a:schemeClr val="lt1"/>
            </a:contourClr>
          </a:sp3d>
        </c:spPr>
      </c:pivotFmt>
      <c:pivotFmt>
        <c:idx val="12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w="19050">
            <a:solidFill>
              <a:schemeClr val="lt1"/>
            </a:solidFill>
          </a:ln>
          <a:effectLst/>
          <a:sp3d contourW="19050">
            <a:contourClr>
              <a:schemeClr val="lt1"/>
            </a:contourClr>
          </a:sp3d>
        </c:spPr>
      </c:pivotFmt>
      <c:pivotFmt>
        <c:idx val="127"/>
        <c:spPr>
          <a:solidFill>
            <a:schemeClr val="accent1"/>
          </a:solidFill>
          <a:ln w="25400">
            <a:solidFill>
              <a:schemeClr val="lt1"/>
            </a:solidFill>
          </a:ln>
          <a:effectLst/>
          <a:sp3d contourW="25400">
            <a:contourClr>
              <a:schemeClr val="lt1"/>
            </a:contourClr>
          </a:sp3d>
        </c:spPr>
      </c:pivotFmt>
      <c:pivotFmt>
        <c:idx val="128"/>
        <c:spPr>
          <a:solidFill>
            <a:schemeClr val="accent1"/>
          </a:solidFill>
          <a:ln w="25400">
            <a:solidFill>
              <a:schemeClr val="lt1"/>
            </a:solidFill>
          </a:ln>
          <a:effectLst/>
          <a:sp3d contourW="25400">
            <a:contourClr>
              <a:schemeClr val="lt1"/>
            </a:contourClr>
          </a:sp3d>
        </c:spPr>
      </c:pivotFmt>
      <c:pivotFmt>
        <c:idx val="129"/>
        <c:spPr>
          <a:solidFill>
            <a:schemeClr val="accent1"/>
          </a:solidFill>
          <a:ln w="25400">
            <a:solidFill>
              <a:schemeClr val="lt1"/>
            </a:solidFill>
          </a:ln>
          <a:effectLst/>
          <a:sp3d contourW="25400">
            <a:contourClr>
              <a:schemeClr val="lt1"/>
            </a:contourClr>
          </a:sp3d>
        </c:spPr>
      </c:pivotFmt>
      <c:pivotFmt>
        <c:idx val="130"/>
        <c:spPr>
          <a:solidFill>
            <a:schemeClr val="accent2"/>
          </a:solidFill>
          <a:ln w="25400">
            <a:solidFill>
              <a:schemeClr val="lt1"/>
            </a:solidFill>
          </a:ln>
          <a:effectLst/>
          <a:sp3d contourW="25400">
            <a:contourClr>
              <a:schemeClr val="lt1"/>
            </a:contourClr>
          </a:sp3d>
        </c:spPr>
      </c:pivotFmt>
      <c:pivotFmt>
        <c:idx val="131"/>
        <c:spPr>
          <a:solidFill>
            <a:schemeClr val="accent1"/>
          </a:solidFill>
          <a:ln w="25400">
            <a:solidFill>
              <a:schemeClr val="lt1"/>
            </a:solidFill>
          </a:ln>
          <a:effectLst/>
          <a:sp3d contourW="25400">
            <a:contourClr>
              <a:schemeClr val="lt1"/>
            </a:contourClr>
          </a:sp3d>
        </c:spPr>
      </c:pivotFmt>
      <c:pivotFmt>
        <c:idx val="132"/>
        <c:spPr>
          <a:solidFill>
            <a:schemeClr val="accent2"/>
          </a:solidFill>
          <a:ln w="25400">
            <a:solidFill>
              <a:schemeClr val="lt1"/>
            </a:solidFill>
          </a:ln>
          <a:effectLst/>
          <a:sp3d contourW="25400">
            <a:contourClr>
              <a:schemeClr val="lt1"/>
            </a:contourClr>
          </a:sp3d>
        </c:spPr>
      </c:pivotFmt>
      <c:pivotFmt>
        <c:idx val="133"/>
        <c:spPr>
          <a:solidFill>
            <a:schemeClr val="accent1"/>
          </a:solidFill>
          <a:ln w="19050">
            <a:solidFill>
              <a:schemeClr val="lt1"/>
            </a:solidFill>
          </a:ln>
          <a:effectLst/>
          <a:sp3d contourW="19050">
            <a:contourClr>
              <a:schemeClr val="lt1"/>
            </a:contourClr>
          </a:sp3d>
        </c:spPr>
      </c:pivotFmt>
      <c:pivotFmt>
        <c:idx val="134"/>
        <c:spPr>
          <a:solidFill>
            <a:schemeClr val="accent1"/>
          </a:solidFill>
          <a:ln w="25400">
            <a:solidFill>
              <a:schemeClr val="lt1"/>
            </a:solidFill>
          </a:ln>
          <a:effectLst/>
          <a:sp3d contourW="25400">
            <a:contourClr>
              <a:schemeClr val="lt1"/>
            </a:contourClr>
          </a:sp3d>
        </c:spPr>
      </c:pivotFmt>
      <c:pivotFmt>
        <c:idx val="135"/>
        <c:spPr>
          <a:solidFill>
            <a:schemeClr val="accent1"/>
          </a:solidFill>
          <a:ln w="25400">
            <a:solidFill>
              <a:schemeClr val="lt1"/>
            </a:solidFill>
          </a:ln>
          <a:effectLst/>
          <a:sp3d contourW="25400">
            <a:contourClr>
              <a:schemeClr val="lt1"/>
            </a:contourClr>
          </a:sp3d>
        </c:spPr>
      </c:pivotFmt>
      <c:pivotFmt>
        <c:idx val="136"/>
        <c:spPr>
          <a:solidFill>
            <a:schemeClr val="accent2"/>
          </a:solidFill>
          <a:ln w="25400">
            <a:solidFill>
              <a:schemeClr val="lt1"/>
            </a:solidFill>
          </a:ln>
          <a:effectLst/>
          <a:sp3d contourW="25400">
            <a:contourClr>
              <a:schemeClr val="lt1"/>
            </a:contourClr>
          </a:sp3d>
        </c:spPr>
      </c:pivotFmt>
      <c:pivotFmt>
        <c:idx val="137"/>
        <c:spPr>
          <a:solidFill>
            <a:schemeClr val="accent2"/>
          </a:solidFill>
          <a:ln w="19050">
            <a:solidFill>
              <a:schemeClr val="lt1"/>
            </a:solidFill>
          </a:ln>
          <a:effectLst/>
          <a:sp3d contourW="19050">
            <a:contourClr>
              <a:schemeClr val="lt1"/>
            </a:contourClr>
          </a:sp3d>
        </c:spPr>
      </c:pivotFmt>
      <c:pivotFmt>
        <c:idx val="138"/>
        <c:spPr>
          <a:solidFill>
            <a:schemeClr val="accent2"/>
          </a:solidFill>
          <a:ln w="19050">
            <a:solidFill>
              <a:schemeClr val="lt1"/>
            </a:solidFill>
          </a:ln>
          <a:effectLst/>
          <a:sp3d contourW="19050">
            <a:contourClr>
              <a:schemeClr val="lt1"/>
            </a:contourClr>
          </a:sp3d>
        </c:spPr>
      </c:pivotFmt>
      <c:pivotFmt>
        <c:idx val="139"/>
        <c:spPr>
          <a:solidFill>
            <a:schemeClr val="accent1"/>
          </a:solidFill>
          <a:ln w="19050">
            <a:solidFill>
              <a:schemeClr val="lt1"/>
            </a:solidFill>
          </a:ln>
          <a:effectLst/>
          <a:sp3d contourW="19050">
            <a:contourClr>
              <a:schemeClr val="lt1"/>
            </a:contourClr>
          </a:sp3d>
        </c:spPr>
      </c:pivotFmt>
      <c:pivotFmt>
        <c:idx val="140"/>
        <c:spPr>
          <a:solidFill>
            <a:schemeClr val="accent1"/>
          </a:solidFill>
          <a:ln w="19050">
            <a:solidFill>
              <a:schemeClr val="lt1"/>
            </a:solidFill>
          </a:ln>
          <a:effectLst/>
          <a:sp3d contourW="19050">
            <a:contourClr>
              <a:schemeClr val="lt1"/>
            </a:contourClr>
          </a:sp3d>
        </c:spPr>
      </c:pivotFmt>
      <c:pivotFmt>
        <c:idx val="141"/>
        <c:spPr>
          <a:solidFill>
            <a:schemeClr val="accent1"/>
          </a:solidFill>
          <a:ln w="19050">
            <a:solidFill>
              <a:schemeClr val="lt1"/>
            </a:solidFill>
          </a:ln>
          <a:effectLst/>
          <a:sp3d contourW="19050">
            <a:contourClr>
              <a:schemeClr val="lt1"/>
            </a:contourClr>
          </a:sp3d>
        </c:spPr>
      </c:pivotFmt>
      <c:pivotFmt>
        <c:idx val="142"/>
        <c:spPr>
          <a:solidFill>
            <a:schemeClr val="accent1"/>
          </a:solidFill>
          <a:ln w="19050">
            <a:solidFill>
              <a:schemeClr val="lt1"/>
            </a:solidFill>
          </a:ln>
          <a:effectLst/>
          <a:sp3d contourW="19050">
            <a:contourClr>
              <a:schemeClr val="lt1"/>
            </a:contourClr>
          </a:sp3d>
        </c:spPr>
      </c:pivotFmt>
      <c:pivotFmt>
        <c:idx val="143"/>
        <c:spPr>
          <a:solidFill>
            <a:schemeClr val="accent1"/>
          </a:solidFill>
          <a:ln w="19050">
            <a:solidFill>
              <a:schemeClr val="lt1"/>
            </a:solidFill>
          </a:ln>
          <a:effectLst/>
          <a:sp3d contourW="19050">
            <a:contourClr>
              <a:schemeClr val="lt1"/>
            </a:contourClr>
          </a:sp3d>
        </c:spPr>
      </c:pivotFmt>
      <c:pivotFmt>
        <c:idx val="144"/>
        <c:spPr>
          <a:solidFill>
            <a:schemeClr val="accent1"/>
          </a:solidFill>
          <a:ln w="19050">
            <a:solidFill>
              <a:schemeClr val="lt1"/>
            </a:solidFill>
          </a:ln>
          <a:effectLst/>
          <a:sp3d contourW="19050">
            <a:contourClr>
              <a:schemeClr val="lt1"/>
            </a:contourClr>
          </a:sp3d>
        </c:spPr>
      </c:pivotFmt>
      <c:pivotFmt>
        <c:idx val="145"/>
        <c:spPr>
          <a:solidFill>
            <a:schemeClr val="accent1"/>
          </a:solidFill>
          <a:ln w="19050">
            <a:solidFill>
              <a:schemeClr val="lt1"/>
            </a:solidFill>
          </a:ln>
          <a:effectLst/>
          <a:sp3d contourW="19050">
            <a:contourClr>
              <a:schemeClr val="lt1"/>
            </a:contourClr>
          </a:sp3d>
        </c:spPr>
      </c:pivotFmt>
      <c:pivotFmt>
        <c:idx val="146"/>
        <c:spPr>
          <a:solidFill>
            <a:schemeClr val="accent1"/>
          </a:solidFill>
          <a:ln w="19050">
            <a:solidFill>
              <a:schemeClr val="lt1"/>
            </a:solidFill>
          </a:ln>
          <a:effectLst/>
          <a:sp3d contourW="19050">
            <a:contourClr>
              <a:schemeClr val="lt1"/>
            </a:contourClr>
          </a:sp3d>
        </c:spPr>
      </c:pivotFmt>
      <c:pivotFmt>
        <c:idx val="147"/>
        <c:spPr>
          <a:solidFill>
            <a:schemeClr val="accent1"/>
          </a:solidFill>
          <a:ln w="19050">
            <a:solidFill>
              <a:schemeClr val="lt1"/>
            </a:solidFill>
          </a:ln>
          <a:effectLst/>
          <a:sp3d contourW="19050">
            <a:contourClr>
              <a:schemeClr val="lt1"/>
            </a:contourClr>
          </a:sp3d>
        </c:spPr>
      </c:pivotFmt>
      <c:pivotFmt>
        <c:idx val="148"/>
        <c:spPr>
          <a:solidFill>
            <a:schemeClr val="accent1"/>
          </a:solidFill>
          <a:ln w="19050">
            <a:solidFill>
              <a:schemeClr val="lt1"/>
            </a:solidFill>
          </a:ln>
          <a:effectLst/>
          <a:sp3d contourW="19050">
            <a:contourClr>
              <a:schemeClr val="lt1"/>
            </a:contourClr>
          </a:sp3d>
        </c:spPr>
      </c:pivotFmt>
      <c:pivotFmt>
        <c:idx val="149"/>
        <c:spPr>
          <a:solidFill>
            <a:schemeClr val="accent1"/>
          </a:solidFill>
          <a:ln w="19050">
            <a:solidFill>
              <a:schemeClr val="lt1"/>
            </a:solidFill>
          </a:ln>
          <a:effectLst/>
          <a:sp3d contourW="19050">
            <a:contourClr>
              <a:schemeClr val="lt1"/>
            </a:contourClr>
          </a:sp3d>
        </c:spPr>
      </c:pivotFmt>
      <c:pivotFmt>
        <c:idx val="150"/>
        <c:spPr>
          <a:solidFill>
            <a:schemeClr val="accent1"/>
          </a:solidFill>
          <a:ln w="19050">
            <a:solidFill>
              <a:schemeClr val="lt1"/>
            </a:solidFill>
          </a:ln>
          <a:effectLst/>
          <a:sp3d contourW="19050">
            <a:contourClr>
              <a:schemeClr val="lt1"/>
            </a:contourClr>
          </a:sp3d>
        </c:spPr>
      </c:pivotFmt>
      <c:pivotFmt>
        <c:idx val="151"/>
        <c:spPr>
          <a:solidFill>
            <a:schemeClr val="accent1"/>
          </a:solidFill>
          <a:ln w="19050">
            <a:solidFill>
              <a:schemeClr val="lt1"/>
            </a:solidFill>
          </a:ln>
          <a:effectLst/>
          <a:sp3d contourW="19050">
            <a:contourClr>
              <a:schemeClr val="lt1"/>
            </a:contourClr>
          </a:sp3d>
        </c:spPr>
      </c:pivotFmt>
      <c:pivotFmt>
        <c:idx val="152"/>
        <c:spPr>
          <a:solidFill>
            <a:schemeClr val="accent1"/>
          </a:solidFill>
          <a:ln w="19050">
            <a:solidFill>
              <a:schemeClr val="lt1"/>
            </a:solidFill>
          </a:ln>
          <a:effectLst/>
          <a:sp3d contourW="19050">
            <a:contourClr>
              <a:schemeClr val="lt1"/>
            </a:contourClr>
          </a:sp3d>
        </c:spPr>
      </c:pivotFmt>
      <c:pivotFmt>
        <c:idx val="153"/>
        <c:spPr>
          <a:solidFill>
            <a:schemeClr val="accent1"/>
          </a:solidFill>
          <a:ln w="19050">
            <a:solidFill>
              <a:schemeClr val="lt1"/>
            </a:solidFill>
          </a:ln>
          <a:effectLst/>
          <a:sp3d contourW="19050">
            <a:contourClr>
              <a:schemeClr val="lt1"/>
            </a:contourClr>
          </a:sp3d>
        </c:spPr>
      </c:pivotFmt>
      <c:pivotFmt>
        <c:idx val="154"/>
        <c:spPr>
          <a:solidFill>
            <a:schemeClr val="accent1"/>
          </a:solidFill>
          <a:ln w="19050">
            <a:solidFill>
              <a:schemeClr val="lt1"/>
            </a:solidFill>
          </a:ln>
          <a:effectLst/>
          <a:sp3d contourW="19050">
            <a:contourClr>
              <a:schemeClr val="lt1"/>
            </a:contourClr>
          </a:sp3d>
        </c:spPr>
      </c:pivotFmt>
      <c:pivotFmt>
        <c:idx val="155"/>
        <c:spPr>
          <a:solidFill>
            <a:schemeClr val="accent1"/>
          </a:solidFill>
          <a:ln w="19050">
            <a:solidFill>
              <a:schemeClr val="lt1"/>
            </a:solidFill>
          </a:ln>
          <a:effectLst/>
          <a:sp3d contourW="19050">
            <a:contourClr>
              <a:schemeClr val="lt1"/>
            </a:contourClr>
          </a:sp3d>
        </c:spPr>
      </c:pivotFmt>
      <c:pivotFmt>
        <c:idx val="156"/>
        <c:spPr>
          <a:solidFill>
            <a:schemeClr val="accent1"/>
          </a:solidFill>
          <a:ln w="19050">
            <a:solidFill>
              <a:schemeClr val="lt1"/>
            </a:solidFill>
          </a:ln>
          <a:effectLst/>
          <a:sp3d contourW="19050">
            <a:contourClr>
              <a:schemeClr val="lt1"/>
            </a:contourClr>
          </a:sp3d>
        </c:spPr>
      </c:pivotFmt>
      <c:pivotFmt>
        <c:idx val="157"/>
        <c:spPr>
          <a:solidFill>
            <a:schemeClr val="accent1"/>
          </a:solidFill>
          <a:ln w="19050">
            <a:solidFill>
              <a:schemeClr val="lt1"/>
            </a:solidFill>
          </a:ln>
          <a:effectLst/>
          <a:sp3d contourW="19050">
            <a:contourClr>
              <a:schemeClr val="lt1"/>
            </a:contourClr>
          </a:sp3d>
        </c:spPr>
      </c:pivotFmt>
      <c:pivotFmt>
        <c:idx val="158"/>
        <c:spPr>
          <a:solidFill>
            <a:schemeClr val="accent1"/>
          </a:solidFill>
          <a:ln w="19050">
            <a:solidFill>
              <a:schemeClr val="lt1"/>
            </a:solidFill>
          </a:ln>
          <a:effectLst/>
          <a:sp3d contourW="19050">
            <a:contourClr>
              <a:schemeClr val="lt1"/>
            </a:contourClr>
          </a:sp3d>
        </c:spPr>
      </c:pivotFmt>
      <c:pivotFmt>
        <c:idx val="159"/>
        <c:spPr>
          <a:solidFill>
            <a:schemeClr val="accent1"/>
          </a:solidFill>
          <a:ln w="19050">
            <a:solidFill>
              <a:schemeClr val="lt1"/>
            </a:solidFill>
          </a:ln>
          <a:effectLst/>
          <a:sp3d contourW="19050">
            <a:contourClr>
              <a:schemeClr val="lt1"/>
            </a:contourClr>
          </a:sp3d>
        </c:spPr>
      </c:pivotFmt>
      <c:pivotFmt>
        <c:idx val="160"/>
        <c:spPr>
          <a:solidFill>
            <a:schemeClr val="accent1"/>
          </a:solidFill>
          <a:ln w="19050">
            <a:solidFill>
              <a:schemeClr val="lt1"/>
            </a:solidFill>
          </a:ln>
          <a:effectLst/>
          <a:sp3d contourW="19050">
            <a:contourClr>
              <a:schemeClr val="lt1"/>
            </a:contourClr>
          </a:sp3d>
        </c:spPr>
      </c:pivotFmt>
      <c:pivotFmt>
        <c:idx val="161"/>
        <c:spPr>
          <a:solidFill>
            <a:schemeClr val="accent1"/>
          </a:solidFill>
          <a:ln w="19050">
            <a:solidFill>
              <a:schemeClr val="lt1"/>
            </a:solidFill>
          </a:ln>
          <a:effectLst/>
          <a:sp3d contourW="19050">
            <a:contourClr>
              <a:schemeClr val="lt1"/>
            </a:contourClr>
          </a:sp3d>
        </c:spPr>
      </c:pivotFmt>
      <c:pivotFmt>
        <c:idx val="162"/>
        <c:spPr>
          <a:solidFill>
            <a:schemeClr val="accent1"/>
          </a:solidFill>
          <a:ln w="19050">
            <a:solidFill>
              <a:schemeClr val="lt1"/>
            </a:solidFill>
          </a:ln>
          <a:effectLst/>
          <a:sp3d contourW="19050">
            <a:contourClr>
              <a:schemeClr val="lt1"/>
            </a:contourClr>
          </a:sp3d>
        </c:spPr>
      </c:pivotFmt>
      <c:pivotFmt>
        <c:idx val="163"/>
        <c:spPr>
          <a:solidFill>
            <a:schemeClr val="accent1"/>
          </a:solidFill>
          <a:ln w="19050">
            <a:solidFill>
              <a:schemeClr val="lt1"/>
            </a:solidFill>
          </a:ln>
          <a:effectLst/>
          <a:sp3d contourW="19050">
            <a:contourClr>
              <a:schemeClr val="lt1"/>
            </a:contourClr>
          </a:sp3d>
        </c:spPr>
      </c:pivotFmt>
      <c:pivotFmt>
        <c:idx val="164"/>
        <c:spPr>
          <a:solidFill>
            <a:schemeClr val="accent1"/>
          </a:solidFill>
          <a:ln w="19050">
            <a:solidFill>
              <a:schemeClr val="lt1"/>
            </a:solidFill>
          </a:ln>
          <a:effectLst/>
          <a:sp3d contourW="19050">
            <a:contourClr>
              <a:schemeClr val="lt1"/>
            </a:contourClr>
          </a:sp3d>
        </c:spPr>
      </c:pivotFmt>
      <c:pivotFmt>
        <c:idx val="165"/>
        <c:spPr>
          <a:solidFill>
            <a:schemeClr val="accent1"/>
          </a:solidFill>
          <a:ln w="19050">
            <a:solidFill>
              <a:schemeClr val="lt1"/>
            </a:solidFill>
          </a:ln>
          <a:effectLst/>
          <a:sp3d contourW="19050">
            <a:contourClr>
              <a:schemeClr val="lt1"/>
            </a:contourClr>
          </a:sp3d>
        </c:spPr>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0036424018426269"/>
          <c:y val="0.30000494373134867"/>
          <c:w val="0.35653040244969381"/>
          <c:h val="0.59421733741615634"/>
        </c:manualLayout>
      </c:layout>
      <c:bar3DChart>
        <c:barDir val="bar"/>
        <c:grouping val="percentStacked"/>
        <c:varyColors val="0"/>
        <c:ser>
          <c:idx val="0"/>
          <c:order val="0"/>
          <c:tx>
            <c:strRef>
              <c:f>Sheet18!$B$3</c:f>
              <c:strCache>
                <c:ptCount val="1"/>
                <c:pt idx="0">
                  <c:v>Sum of Total days</c:v>
                </c:pt>
              </c:strCache>
            </c:strRef>
          </c:tx>
          <c:spPr>
            <a:solidFill>
              <a:schemeClr val="accent1"/>
            </a:solidFill>
            <a:ln w="25400">
              <a:solidFill>
                <a:schemeClr val="lt1"/>
              </a:solidFill>
            </a:ln>
            <a:effectLst/>
            <a:sp3d contourW="25400">
              <a:contourClr>
                <a:schemeClr val="lt1"/>
              </a:contourClr>
            </a:sp3d>
          </c:spPr>
          <c:invertIfNegative val="0"/>
          <c:dPt>
            <c:idx val="0"/>
            <c:invertIfNegative val="0"/>
            <c:bubble3D val="0"/>
            <c:spPr>
              <a:solidFill>
                <a:schemeClr val="accent1"/>
              </a:solidFill>
              <a:ln w="19050">
                <a:solidFill>
                  <a:schemeClr val="lt1"/>
                </a:solidFill>
              </a:ln>
              <a:effectLst/>
              <a:sp3d contourW="19050">
                <a:contourClr>
                  <a:schemeClr val="lt1"/>
                </a:contourClr>
              </a:sp3d>
            </c:spPr>
            <c:extLst>
              <c:ext xmlns:c16="http://schemas.microsoft.com/office/drawing/2014/chart" uri="{C3380CC4-5D6E-409C-BE32-E72D297353CC}">
                <c16:uniqueId val="{00000001-218D-492B-899E-76304E49CEEA}"/>
              </c:ext>
            </c:extLst>
          </c:dPt>
          <c:cat>
            <c:strRef>
              <c:f>Sheet18!$A$4:$A$5</c:f>
              <c:strCache>
                <c:ptCount val="1"/>
                <c:pt idx="0">
                  <c:v>Giselle Lancaster</c:v>
                </c:pt>
              </c:strCache>
            </c:strRef>
          </c:cat>
          <c:val>
            <c:numRef>
              <c:f>Sheet18!$B$4:$B$5</c:f>
              <c:numCache>
                <c:formatCode>General</c:formatCode>
                <c:ptCount val="1"/>
                <c:pt idx="0">
                  <c:v>100</c:v>
                </c:pt>
              </c:numCache>
            </c:numRef>
          </c:val>
          <c:extLst>
            <c:ext xmlns:c16="http://schemas.microsoft.com/office/drawing/2014/chart" uri="{C3380CC4-5D6E-409C-BE32-E72D297353CC}">
              <c16:uniqueId val="{00000050-218D-492B-899E-76304E49CEEA}"/>
            </c:ext>
          </c:extLst>
        </c:ser>
        <c:ser>
          <c:idx val="1"/>
          <c:order val="1"/>
          <c:tx>
            <c:strRef>
              <c:f>Sheet18!$C$3</c:f>
              <c:strCache>
                <c:ptCount val="1"/>
                <c:pt idx="0">
                  <c:v>Sum of Absences</c:v>
                </c:pt>
              </c:strCache>
            </c:strRef>
          </c:tx>
          <c:spPr>
            <a:solidFill>
              <a:schemeClr val="accent2"/>
            </a:solidFill>
            <a:ln w="25400">
              <a:solidFill>
                <a:schemeClr val="lt1"/>
              </a:solidFill>
            </a:ln>
            <a:effectLst/>
            <a:sp3d contourW="25400">
              <a:contourClr>
                <a:schemeClr val="lt1"/>
              </a:contourClr>
            </a:sp3d>
          </c:spPr>
          <c:invertIfNegative val="0"/>
          <c:dPt>
            <c:idx val="0"/>
            <c:invertIfNegative val="0"/>
            <c:bubble3D val="0"/>
            <c:spPr>
              <a:solidFill>
                <a:schemeClr val="accent2"/>
              </a:solidFill>
              <a:ln w="19050">
                <a:solidFill>
                  <a:schemeClr val="lt1"/>
                </a:solidFill>
              </a:ln>
              <a:effectLst/>
              <a:sp3d contourW="19050">
                <a:contourClr>
                  <a:schemeClr val="lt1"/>
                </a:contourClr>
              </a:sp3d>
            </c:spPr>
            <c:extLst>
              <c:ext xmlns:c16="http://schemas.microsoft.com/office/drawing/2014/chart" uri="{C3380CC4-5D6E-409C-BE32-E72D297353CC}">
                <c16:uniqueId val="{00000052-218D-492B-899E-76304E49CEEA}"/>
              </c:ext>
            </c:extLst>
          </c:dPt>
          <c:cat>
            <c:strRef>
              <c:f>Sheet18!$A$4:$A$5</c:f>
              <c:strCache>
                <c:ptCount val="1"/>
                <c:pt idx="0">
                  <c:v>Giselle Lancaster</c:v>
                </c:pt>
              </c:strCache>
            </c:strRef>
          </c:cat>
          <c:val>
            <c:numRef>
              <c:f>Sheet18!$C$4:$C$5</c:f>
              <c:numCache>
                <c:formatCode>General</c:formatCode>
                <c:ptCount val="1"/>
                <c:pt idx="0">
                  <c:v>1</c:v>
                </c:pt>
              </c:numCache>
            </c:numRef>
          </c:val>
          <c:extLst>
            <c:ext xmlns:c16="http://schemas.microsoft.com/office/drawing/2014/chart" uri="{C3380CC4-5D6E-409C-BE32-E72D297353CC}">
              <c16:uniqueId val="{000000A1-218D-492B-899E-76304E49CEEA}"/>
            </c:ext>
          </c:extLst>
        </c:ser>
        <c:dLbls>
          <c:showLegendKey val="0"/>
          <c:showVal val="0"/>
          <c:showCatName val="0"/>
          <c:showSerName val="0"/>
          <c:showPercent val="0"/>
          <c:showBubbleSize val="0"/>
        </c:dLbls>
        <c:gapWidth val="100"/>
        <c:shape val="box"/>
        <c:axId val="1152367088"/>
        <c:axId val="1152364688"/>
        <c:axId val="0"/>
      </c:bar3DChart>
      <c:valAx>
        <c:axId val="115236468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367088"/>
        <c:crosses val="autoZero"/>
        <c:crossBetween val="between"/>
      </c:valAx>
      <c:catAx>
        <c:axId val="11523670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36468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[Student_Performance_Dashboard.xlsx]Sheet19!PivotTable19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Study</a:t>
            </a:r>
            <a:r>
              <a:rPr lang="en-US" baseline="0"/>
              <a:t> Time Weekly</a:t>
            </a:r>
            <a:endParaRPr lang="en-US"/>
          </a:p>
        </c:rich>
      </c:tx>
      <c:overlay val="0"/>
      <c:spPr>
        <a:solidFill>
          <a:schemeClr val="accent4">
            <a:lumMod val="40000"/>
            <a:lumOff val="6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70049577136192"/>
          <c:y val="9.8765432098765427E-2"/>
          <c:w val="0.50779848352289292"/>
          <c:h val="0.78889958199669485"/>
        </c:manualLayout>
      </c:layout>
      <c:areaChart>
        <c:grouping val="stacked"/>
        <c:varyColors val="0"/>
        <c:ser>
          <c:idx val="0"/>
          <c:order val="0"/>
          <c:tx>
            <c:strRef>
              <c:f>Sheet19!$B$3</c:f>
              <c:strCache>
                <c:ptCount val="1"/>
                <c:pt idx="0">
                  <c:v>Sum of Total Time </c:v>
                </c:pt>
              </c:strCache>
            </c:strRef>
          </c:tx>
          <c:spPr>
            <a:solidFill>
              <a:schemeClr val="accent1"/>
            </a:solidFill>
            <a:ln>
              <a:noFill/>
            </a:ln>
            <a:effectLst/>
          </c:spPr>
          <c:cat>
            <c:strRef>
              <c:f>Sheet19!$A$4:$A$5</c:f>
              <c:strCache>
                <c:ptCount val="1"/>
                <c:pt idx="0">
                  <c:v>Giselle Lancaster</c:v>
                </c:pt>
              </c:strCache>
            </c:strRef>
          </c:cat>
          <c:val>
            <c:numRef>
              <c:f>Sheet19!$B$4:$B$5</c:f>
              <c:numCache>
                <c:formatCode>General</c:formatCode>
                <c:ptCount val="1"/>
                <c:pt idx="0">
                  <c:v>25</c:v>
                </c:pt>
              </c:numCache>
            </c:numRef>
          </c:val>
          <c:extLst>
            <c:ext xmlns:c16="http://schemas.microsoft.com/office/drawing/2014/chart" uri="{C3380CC4-5D6E-409C-BE32-E72D297353CC}">
              <c16:uniqueId val="{00000000-64FF-4A22-B7A0-8679FBA9D052}"/>
            </c:ext>
          </c:extLst>
        </c:ser>
        <c:dLbls>
          <c:showLegendKey val="0"/>
          <c:showVal val="0"/>
          <c:showCatName val="0"/>
          <c:showSerName val="0"/>
          <c:showPercent val="0"/>
          <c:showBubbleSize val="0"/>
        </c:dLbls>
        <c:axId val="1078975888"/>
        <c:axId val="1078973968"/>
      </c:areaChart>
      <c:barChart>
        <c:barDir val="col"/>
        <c:grouping val="clustered"/>
        <c:varyColors val="0"/>
        <c:ser>
          <c:idx val="1"/>
          <c:order val="1"/>
          <c:tx>
            <c:strRef>
              <c:f>Sheet19!$C$3</c:f>
              <c:strCache>
                <c:ptCount val="1"/>
                <c:pt idx="0">
                  <c:v>Sum of StudyTimeWeekly</c:v>
                </c:pt>
              </c:strCache>
            </c:strRef>
          </c:tx>
          <c:spPr>
            <a:solidFill>
              <a:schemeClr val="accent2"/>
            </a:solidFill>
            <a:ln>
              <a:noFill/>
            </a:ln>
            <a:effectLst/>
          </c:spPr>
          <c:invertIfNegative val="0"/>
          <c:cat>
            <c:strRef>
              <c:f>Sheet19!$A$4:$A$5</c:f>
              <c:strCache>
                <c:ptCount val="1"/>
                <c:pt idx="0">
                  <c:v>Giselle Lancaster</c:v>
                </c:pt>
              </c:strCache>
            </c:strRef>
          </c:cat>
          <c:val>
            <c:numRef>
              <c:f>Sheet19!$C$4:$C$5</c:f>
              <c:numCache>
                <c:formatCode>0.00</c:formatCode>
                <c:ptCount val="1"/>
                <c:pt idx="0">
                  <c:v>4.5620075580477</c:v>
                </c:pt>
              </c:numCache>
            </c:numRef>
          </c:val>
          <c:extLst>
            <c:ext xmlns:c16="http://schemas.microsoft.com/office/drawing/2014/chart" uri="{C3380CC4-5D6E-409C-BE32-E72D297353CC}">
              <c16:uniqueId val="{00000001-64FF-4A22-B7A0-8679FBA9D052}"/>
            </c:ext>
          </c:extLst>
        </c:ser>
        <c:dLbls>
          <c:showLegendKey val="0"/>
          <c:showVal val="0"/>
          <c:showCatName val="0"/>
          <c:showSerName val="0"/>
          <c:showPercent val="0"/>
          <c:showBubbleSize val="0"/>
        </c:dLbls>
        <c:gapWidth val="150"/>
        <c:axId val="1078975888"/>
        <c:axId val="1078973968"/>
      </c:barChart>
      <c:catAx>
        <c:axId val="1078975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8973968"/>
        <c:crosses val="autoZero"/>
        <c:auto val="1"/>
        <c:lblAlgn val="ctr"/>
        <c:lblOffset val="100"/>
        <c:noMultiLvlLbl val="0"/>
      </c:catAx>
      <c:valAx>
        <c:axId val="1078973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8975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937260</xdr:colOff>
      <xdr:row>6</xdr:row>
      <xdr:rowOff>41910</xdr:rowOff>
    </xdr:from>
    <xdr:to>
      <xdr:col>6</xdr:col>
      <xdr:colOff>312420</xdr:colOff>
      <xdr:row>21</xdr:row>
      <xdr:rowOff>41910</xdr:rowOff>
    </xdr:to>
    <xdr:graphicFrame macro="">
      <xdr:nvGraphicFramePr>
        <xdr:cNvPr id="2" name="Chart 1">
          <a:extLst>
            <a:ext uri="{FF2B5EF4-FFF2-40B4-BE49-F238E27FC236}">
              <a16:creationId xmlns:a16="http://schemas.microsoft.com/office/drawing/2014/main" id="{EB90BE12-3E22-0F4F-6CA5-38F6296206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426720</xdr:colOff>
      <xdr:row>3</xdr:row>
      <xdr:rowOff>106680</xdr:rowOff>
    </xdr:from>
    <xdr:to>
      <xdr:col>10</xdr:col>
      <xdr:colOff>426720</xdr:colOff>
      <xdr:row>17</xdr:row>
      <xdr:rowOff>13335</xdr:rowOff>
    </xdr:to>
    <mc:AlternateContent xmlns:mc="http://schemas.openxmlformats.org/markup-compatibility/2006" xmlns:a14="http://schemas.microsoft.com/office/drawing/2010/main">
      <mc:Choice Requires="a14">
        <xdr:graphicFrame macro="">
          <xdr:nvGraphicFramePr>
            <xdr:cNvPr id="3" name="Student name">
              <a:extLst>
                <a:ext uri="{FF2B5EF4-FFF2-40B4-BE49-F238E27FC236}">
                  <a16:creationId xmlns:a16="http://schemas.microsoft.com/office/drawing/2014/main" id="{01F51D0E-A48C-974C-9225-1C3C707C82CD}"/>
                </a:ext>
              </a:extLst>
            </xdr:cNvPr>
            <xdr:cNvGraphicFramePr/>
          </xdr:nvGraphicFramePr>
          <xdr:xfrm>
            <a:off x="0" y="0"/>
            <a:ext cx="0" cy="0"/>
          </xdr:xfrm>
          <a:graphic>
            <a:graphicData uri="http://schemas.microsoft.com/office/drawing/2010/slicer">
              <sle:slicer xmlns:sle="http://schemas.microsoft.com/office/drawing/2010/slicer" name="Student name"/>
            </a:graphicData>
          </a:graphic>
        </xdr:graphicFrame>
      </mc:Choice>
      <mc:Fallback xmlns="">
        <xdr:sp macro="" textlink="">
          <xdr:nvSpPr>
            <xdr:cNvPr id="0" name=""/>
            <xdr:cNvSpPr>
              <a:spLocks noTextEdit="1"/>
            </xdr:cNvSpPr>
          </xdr:nvSpPr>
          <xdr:spPr>
            <a:xfrm>
              <a:off x="7094220" y="6553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716280</xdr:colOff>
      <xdr:row>6</xdr:row>
      <xdr:rowOff>57150</xdr:rowOff>
    </xdr:from>
    <xdr:to>
      <xdr:col>5</xdr:col>
      <xdr:colOff>807720</xdr:colOff>
      <xdr:row>21</xdr:row>
      <xdr:rowOff>57150</xdr:rowOff>
    </xdr:to>
    <xdr:graphicFrame macro="">
      <xdr:nvGraphicFramePr>
        <xdr:cNvPr id="2" name="Chart 1">
          <a:extLst>
            <a:ext uri="{FF2B5EF4-FFF2-40B4-BE49-F238E27FC236}">
              <a16:creationId xmlns:a16="http://schemas.microsoft.com/office/drawing/2014/main" id="{863AE8F5-63CB-67D1-4EA2-F73E37EFB0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716280</xdr:colOff>
      <xdr:row>6</xdr:row>
      <xdr:rowOff>57150</xdr:rowOff>
    </xdr:from>
    <xdr:to>
      <xdr:col>8</xdr:col>
      <xdr:colOff>76200</xdr:colOff>
      <xdr:row>21</xdr:row>
      <xdr:rowOff>57150</xdr:rowOff>
    </xdr:to>
    <xdr:graphicFrame macro="">
      <xdr:nvGraphicFramePr>
        <xdr:cNvPr id="2" name="Chart 1">
          <a:extLst>
            <a:ext uri="{FF2B5EF4-FFF2-40B4-BE49-F238E27FC236}">
              <a16:creationId xmlns:a16="http://schemas.microsoft.com/office/drawing/2014/main" id="{DC6F31D0-BD4E-0FA0-BF62-F8CF96A5DD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716280</xdr:colOff>
      <xdr:row>6</xdr:row>
      <xdr:rowOff>57150</xdr:rowOff>
    </xdr:from>
    <xdr:to>
      <xdr:col>7</xdr:col>
      <xdr:colOff>121920</xdr:colOff>
      <xdr:row>21</xdr:row>
      <xdr:rowOff>57150</xdr:rowOff>
    </xdr:to>
    <xdr:graphicFrame macro="">
      <xdr:nvGraphicFramePr>
        <xdr:cNvPr id="2" name="Chart 1">
          <a:extLst>
            <a:ext uri="{FF2B5EF4-FFF2-40B4-BE49-F238E27FC236}">
              <a16:creationId xmlns:a16="http://schemas.microsoft.com/office/drawing/2014/main" id="{B72F6AFF-B431-A09A-86C4-074F41CE9A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604344</xdr:colOff>
      <xdr:row>0</xdr:row>
      <xdr:rowOff>87586</xdr:rowOff>
    </xdr:from>
    <xdr:to>
      <xdr:col>19</xdr:col>
      <xdr:colOff>432741</xdr:colOff>
      <xdr:row>34</xdr:row>
      <xdr:rowOff>84666</xdr:rowOff>
    </xdr:to>
    <xdr:sp macro="" textlink="">
      <xdr:nvSpPr>
        <xdr:cNvPr id="2" name="Rectangle 1">
          <a:extLst>
            <a:ext uri="{FF2B5EF4-FFF2-40B4-BE49-F238E27FC236}">
              <a16:creationId xmlns:a16="http://schemas.microsoft.com/office/drawing/2014/main" id="{5E6F6E9A-AEBB-8D81-9A8D-7828BDFC8D0A}"/>
            </a:ext>
          </a:extLst>
        </xdr:cNvPr>
        <xdr:cNvSpPr/>
      </xdr:nvSpPr>
      <xdr:spPr>
        <a:xfrm>
          <a:off x="1215825" y="87586"/>
          <a:ext cx="11013805" cy="629063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28221</xdr:colOff>
      <xdr:row>3</xdr:row>
      <xdr:rowOff>169334</xdr:rowOff>
    </xdr:from>
    <xdr:to>
      <xdr:col>19</xdr:col>
      <xdr:colOff>460962</xdr:colOff>
      <xdr:row>4</xdr:row>
      <xdr:rowOff>18815</xdr:rowOff>
    </xdr:to>
    <xdr:cxnSp macro="">
      <xdr:nvCxnSpPr>
        <xdr:cNvPr id="12" name="Straight Connector 11">
          <a:extLst>
            <a:ext uri="{FF2B5EF4-FFF2-40B4-BE49-F238E27FC236}">
              <a16:creationId xmlns:a16="http://schemas.microsoft.com/office/drawing/2014/main" id="{19FFFCDD-21DE-B392-B75B-6847A3930B34}"/>
            </a:ext>
          </a:extLst>
        </xdr:cNvPr>
        <xdr:cNvCxnSpPr/>
      </xdr:nvCxnSpPr>
      <xdr:spPr>
        <a:xfrm flipV="1">
          <a:off x="1251184" y="705556"/>
          <a:ext cx="11006667" cy="28222"/>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514597</xdr:colOff>
      <xdr:row>0</xdr:row>
      <xdr:rowOff>112889</xdr:rowOff>
    </xdr:from>
    <xdr:to>
      <xdr:col>19</xdr:col>
      <xdr:colOff>435429</xdr:colOff>
      <xdr:row>34</xdr:row>
      <xdr:rowOff>108857</xdr:rowOff>
    </xdr:to>
    <xdr:sp macro="" textlink="">
      <xdr:nvSpPr>
        <xdr:cNvPr id="8" name="Rectangle 7">
          <a:extLst>
            <a:ext uri="{FF2B5EF4-FFF2-40B4-BE49-F238E27FC236}">
              <a16:creationId xmlns:a16="http://schemas.microsoft.com/office/drawing/2014/main" id="{DA0A4EB5-ACBB-6698-3424-38B10366A202}"/>
            </a:ext>
          </a:extLst>
        </xdr:cNvPr>
        <xdr:cNvSpPr/>
      </xdr:nvSpPr>
      <xdr:spPr>
        <a:xfrm>
          <a:off x="4195948" y="112889"/>
          <a:ext cx="8075221" cy="6270098"/>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406399</xdr:colOff>
      <xdr:row>4</xdr:row>
      <xdr:rowOff>39511</xdr:rowOff>
    </xdr:from>
    <xdr:to>
      <xdr:col>19</xdr:col>
      <xdr:colOff>246472</xdr:colOff>
      <xdr:row>19</xdr:row>
      <xdr:rowOff>11289</xdr:rowOff>
    </xdr:to>
    <xdr:sp macro="" textlink="">
      <xdr:nvSpPr>
        <xdr:cNvPr id="20" name="Rectangle 19">
          <a:extLst>
            <a:ext uri="{FF2B5EF4-FFF2-40B4-BE49-F238E27FC236}">
              <a16:creationId xmlns:a16="http://schemas.microsoft.com/office/drawing/2014/main" id="{3AE1BBA4-B4C9-F09D-DFF0-A47A3C5251A0}"/>
            </a:ext>
          </a:extLst>
        </xdr:cNvPr>
        <xdr:cNvSpPr/>
      </xdr:nvSpPr>
      <xdr:spPr>
        <a:xfrm>
          <a:off x="8355658" y="754474"/>
          <a:ext cx="3687703" cy="2652889"/>
        </a:xfrm>
        <a:prstGeom prst="rect">
          <a:avLst/>
        </a:prstGeom>
        <a:solidFill>
          <a:srgbClr val="FF7C8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188148</xdr:colOff>
      <xdr:row>4</xdr:row>
      <xdr:rowOff>47037</xdr:rowOff>
    </xdr:from>
    <xdr:to>
      <xdr:col>13</xdr:col>
      <xdr:colOff>206962</xdr:colOff>
      <xdr:row>19</xdr:row>
      <xdr:rowOff>18815</xdr:rowOff>
    </xdr:to>
    <xdr:sp macro="" textlink="">
      <xdr:nvSpPr>
        <xdr:cNvPr id="19" name="Rectangle 18">
          <a:extLst>
            <a:ext uri="{FF2B5EF4-FFF2-40B4-BE49-F238E27FC236}">
              <a16:creationId xmlns:a16="http://schemas.microsoft.com/office/drawing/2014/main" id="{B1C1F221-4E9B-60C8-CDBC-648422919D43}"/>
            </a:ext>
          </a:extLst>
        </xdr:cNvPr>
        <xdr:cNvSpPr/>
      </xdr:nvSpPr>
      <xdr:spPr>
        <a:xfrm>
          <a:off x="4468518" y="762000"/>
          <a:ext cx="3687703" cy="2652889"/>
        </a:xfrm>
        <a:prstGeom prst="rect">
          <a:avLst/>
        </a:prstGeom>
        <a:solidFill>
          <a:srgbClr val="FF7C8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190030</xdr:colOff>
      <xdr:row>20</xdr:row>
      <xdr:rowOff>1881</xdr:rowOff>
    </xdr:from>
    <xdr:to>
      <xdr:col>13</xdr:col>
      <xdr:colOff>208844</xdr:colOff>
      <xdr:row>33</xdr:row>
      <xdr:rowOff>114770</xdr:rowOff>
    </xdr:to>
    <xdr:sp macro="" textlink="">
      <xdr:nvSpPr>
        <xdr:cNvPr id="21" name="Rectangle 20">
          <a:extLst>
            <a:ext uri="{FF2B5EF4-FFF2-40B4-BE49-F238E27FC236}">
              <a16:creationId xmlns:a16="http://schemas.microsoft.com/office/drawing/2014/main" id="{8C2892B2-7DE4-C1BF-2904-97668D0291F9}"/>
            </a:ext>
          </a:extLst>
        </xdr:cNvPr>
        <xdr:cNvSpPr/>
      </xdr:nvSpPr>
      <xdr:spPr>
        <a:xfrm>
          <a:off x="4470400" y="3576696"/>
          <a:ext cx="3687703" cy="2652889"/>
        </a:xfrm>
        <a:prstGeom prst="rect">
          <a:avLst/>
        </a:prstGeom>
        <a:solidFill>
          <a:srgbClr val="FF7C8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417690</xdr:colOff>
      <xdr:row>20</xdr:row>
      <xdr:rowOff>3762</xdr:rowOff>
    </xdr:from>
    <xdr:to>
      <xdr:col>19</xdr:col>
      <xdr:colOff>257763</xdr:colOff>
      <xdr:row>33</xdr:row>
      <xdr:rowOff>116651</xdr:rowOff>
    </xdr:to>
    <xdr:sp macro="" textlink="">
      <xdr:nvSpPr>
        <xdr:cNvPr id="22" name="Rectangle 21">
          <a:extLst>
            <a:ext uri="{FF2B5EF4-FFF2-40B4-BE49-F238E27FC236}">
              <a16:creationId xmlns:a16="http://schemas.microsoft.com/office/drawing/2014/main" id="{57E61684-CAE1-F40E-5AE1-287C6B657150}"/>
            </a:ext>
          </a:extLst>
        </xdr:cNvPr>
        <xdr:cNvSpPr/>
      </xdr:nvSpPr>
      <xdr:spPr>
        <a:xfrm>
          <a:off x="8366949" y="3578577"/>
          <a:ext cx="3687703" cy="2652889"/>
        </a:xfrm>
        <a:prstGeom prst="rect">
          <a:avLst/>
        </a:prstGeom>
        <a:solidFill>
          <a:srgbClr val="FF7C8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602074</xdr:colOff>
      <xdr:row>0</xdr:row>
      <xdr:rowOff>103481</xdr:rowOff>
    </xdr:from>
    <xdr:to>
      <xdr:col>6</xdr:col>
      <xdr:colOff>514596</xdr:colOff>
      <xdr:row>34</xdr:row>
      <xdr:rowOff>89065</xdr:rowOff>
    </xdr:to>
    <xdr:sp macro="" textlink="">
      <xdr:nvSpPr>
        <xdr:cNvPr id="9" name="Rectangle 8">
          <a:extLst>
            <a:ext uri="{FF2B5EF4-FFF2-40B4-BE49-F238E27FC236}">
              <a16:creationId xmlns:a16="http://schemas.microsoft.com/office/drawing/2014/main" id="{12590C9B-5CE6-A406-2F23-328EAC4E444F}"/>
            </a:ext>
          </a:extLst>
        </xdr:cNvPr>
        <xdr:cNvSpPr/>
      </xdr:nvSpPr>
      <xdr:spPr>
        <a:xfrm>
          <a:off x="1215632" y="103481"/>
          <a:ext cx="2980315" cy="6259714"/>
        </a:xfrm>
        <a:prstGeom prst="rect">
          <a:avLst/>
        </a:prstGeom>
        <a:solidFill>
          <a:srgbClr val="93CAD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514597</xdr:colOff>
      <xdr:row>20</xdr:row>
      <xdr:rowOff>98961</xdr:rowOff>
    </xdr:from>
    <xdr:to>
      <xdr:col>19</xdr:col>
      <xdr:colOff>138546</xdr:colOff>
      <xdr:row>33</xdr:row>
      <xdr:rowOff>1</xdr:rowOff>
    </xdr:to>
    <xdr:graphicFrame macro="">
      <xdr:nvGraphicFramePr>
        <xdr:cNvPr id="3" name="Chart 2">
          <a:extLst>
            <a:ext uri="{FF2B5EF4-FFF2-40B4-BE49-F238E27FC236}">
              <a16:creationId xmlns:a16="http://schemas.microsoft.com/office/drawing/2014/main" id="{546C02BC-33CB-4749-98E0-E6AAEDEE84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260812</xdr:colOff>
      <xdr:row>4</xdr:row>
      <xdr:rowOff>171604</xdr:rowOff>
    </xdr:from>
    <xdr:to>
      <xdr:col>13</xdr:col>
      <xdr:colOff>112889</xdr:colOff>
      <xdr:row>18</xdr:row>
      <xdr:rowOff>75259</xdr:rowOff>
    </xdr:to>
    <xdr:graphicFrame macro="">
      <xdr:nvGraphicFramePr>
        <xdr:cNvPr id="4" name="Chart 3">
          <a:extLst>
            <a:ext uri="{FF2B5EF4-FFF2-40B4-BE49-F238E27FC236}">
              <a16:creationId xmlns:a16="http://schemas.microsoft.com/office/drawing/2014/main" id="{979C57DC-9710-473D-9811-893809DCA1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308658</xdr:colOff>
      <xdr:row>20</xdr:row>
      <xdr:rowOff>66793</xdr:rowOff>
    </xdr:from>
    <xdr:to>
      <xdr:col>13</xdr:col>
      <xdr:colOff>103482</xdr:colOff>
      <xdr:row>33</xdr:row>
      <xdr:rowOff>18815</xdr:rowOff>
    </xdr:to>
    <xdr:graphicFrame macro="">
      <xdr:nvGraphicFramePr>
        <xdr:cNvPr id="5" name="Chart 4">
          <a:extLst>
            <a:ext uri="{FF2B5EF4-FFF2-40B4-BE49-F238E27FC236}">
              <a16:creationId xmlns:a16="http://schemas.microsoft.com/office/drawing/2014/main" id="{A0B0B3FB-0A09-42E6-8415-E235AE6AAC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549849</xdr:colOff>
      <xdr:row>4</xdr:row>
      <xdr:rowOff>151492</xdr:rowOff>
    </xdr:from>
    <xdr:to>
      <xdr:col>19</xdr:col>
      <xdr:colOff>108656</xdr:colOff>
      <xdr:row>18</xdr:row>
      <xdr:rowOff>55147</xdr:rowOff>
    </xdr:to>
    <xdr:graphicFrame macro="">
      <xdr:nvGraphicFramePr>
        <xdr:cNvPr id="6" name="Chart 5">
          <a:extLst>
            <a:ext uri="{FF2B5EF4-FFF2-40B4-BE49-F238E27FC236}">
              <a16:creationId xmlns:a16="http://schemas.microsoft.com/office/drawing/2014/main" id="{AC74F3C0-66E9-4319-825F-A087C0CBB0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405740</xdr:colOff>
      <xdr:row>0</xdr:row>
      <xdr:rowOff>158338</xdr:rowOff>
    </xdr:from>
    <xdr:to>
      <xdr:col>16</xdr:col>
      <xdr:colOff>257299</xdr:colOff>
      <xdr:row>3</xdr:row>
      <xdr:rowOff>128649</xdr:rowOff>
    </xdr:to>
    <xdr:sp macro="" textlink="">
      <xdr:nvSpPr>
        <xdr:cNvPr id="16" name="Rectangle: Rounded Corners 15">
          <a:extLst>
            <a:ext uri="{FF2B5EF4-FFF2-40B4-BE49-F238E27FC236}">
              <a16:creationId xmlns:a16="http://schemas.microsoft.com/office/drawing/2014/main" id="{90B8DDE8-6C11-86C4-D9A6-EC9929D3EAB4}"/>
            </a:ext>
          </a:extLst>
        </xdr:cNvPr>
        <xdr:cNvSpPr/>
      </xdr:nvSpPr>
      <xdr:spPr>
        <a:xfrm>
          <a:off x="6541324" y="158338"/>
          <a:ext cx="3532910" cy="504701"/>
        </a:xfrm>
        <a:prstGeom prst="roundRect">
          <a:avLst>
            <a:gd name="adj" fmla="val 50000"/>
          </a:avLst>
        </a:prstGeom>
        <a:solidFill>
          <a:srgbClr val="FF7C8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latin typeface="Arial Black" panose="020B0A04020102020204" pitchFamily="34" charset="0"/>
            </a:rPr>
            <a:t>   Student Performance Report</a:t>
          </a:r>
        </a:p>
      </xdr:txBody>
    </xdr:sp>
    <xdr:clientData/>
  </xdr:twoCellAnchor>
  <xdr:twoCellAnchor>
    <xdr:from>
      <xdr:col>2</xdr:col>
      <xdr:colOff>366155</xdr:colOff>
      <xdr:row>7</xdr:row>
      <xdr:rowOff>108858</xdr:rowOff>
    </xdr:from>
    <xdr:to>
      <xdr:col>6</xdr:col>
      <xdr:colOff>89063</xdr:colOff>
      <xdr:row>23</xdr:row>
      <xdr:rowOff>148442</xdr:rowOff>
    </xdr:to>
    <xdr:sp macro="" textlink="">
      <xdr:nvSpPr>
        <xdr:cNvPr id="23" name="Rectangle: Rounded Corners 22">
          <a:extLst>
            <a:ext uri="{FF2B5EF4-FFF2-40B4-BE49-F238E27FC236}">
              <a16:creationId xmlns:a16="http://schemas.microsoft.com/office/drawing/2014/main" id="{80018BF6-B9A0-F5E6-D614-A7D04CDCC606}"/>
            </a:ext>
          </a:extLst>
        </xdr:cNvPr>
        <xdr:cNvSpPr/>
      </xdr:nvSpPr>
      <xdr:spPr>
        <a:xfrm>
          <a:off x="1593272" y="1355767"/>
          <a:ext cx="2177142" cy="3107376"/>
        </a:xfrm>
        <a:prstGeom prst="roundRect">
          <a:avLst>
            <a:gd name="adj" fmla="val 0"/>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425532</xdr:colOff>
      <xdr:row>8</xdr:row>
      <xdr:rowOff>0</xdr:rowOff>
    </xdr:from>
    <xdr:to>
      <xdr:col>6</xdr:col>
      <xdr:colOff>59376</xdr:colOff>
      <xdr:row>23</xdr:row>
      <xdr:rowOff>118753</xdr:rowOff>
    </xdr:to>
    <mc:AlternateContent xmlns:mc="http://schemas.openxmlformats.org/markup-compatibility/2006" xmlns:a14="http://schemas.microsoft.com/office/drawing/2010/main">
      <mc:Choice Requires="a14">
        <xdr:graphicFrame macro="">
          <xdr:nvGraphicFramePr>
            <xdr:cNvPr id="7" name="Student name 1">
              <a:extLst>
                <a:ext uri="{FF2B5EF4-FFF2-40B4-BE49-F238E27FC236}">
                  <a16:creationId xmlns:a16="http://schemas.microsoft.com/office/drawing/2014/main" id="{A43A1168-3A68-4317-7ADE-8222FB7EFE29}"/>
                </a:ext>
              </a:extLst>
            </xdr:cNvPr>
            <xdr:cNvGraphicFramePr/>
          </xdr:nvGraphicFramePr>
          <xdr:xfrm>
            <a:off x="0" y="0"/>
            <a:ext cx="0" cy="0"/>
          </xdr:xfrm>
          <a:graphic>
            <a:graphicData uri="http://schemas.microsoft.com/office/drawing/2010/slicer">
              <sle:slicer xmlns:sle="http://schemas.microsoft.com/office/drawing/2010/slicer" name="Student name 1"/>
            </a:graphicData>
          </a:graphic>
        </xdr:graphicFrame>
      </mc:Choice>
      <mc:Fallback xmlns="">
        <xdr:sp macro="" textlink="">
          <xdr:nvSpPr>
            <xdr:cNvPr id="0" name=""/>
            <xdr:cNvSpPr>
              <a:spLocks noTextEdit="1"/>
            </xdr:cNvSpPr>
          </xdr:nvSpPr>
          <xdr:spPr>
            <a:xfrm>
              <a:off x="1652649" y="1425039"/>
              <a:ext cx="2088078" cy="28302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555653</xdr:colOff>
      <xdr:row>3</xdr:row>
      <xdr:rowOff>162348</xdr:rowOff>
    </xdr:from>
    <xdr:to>
      <xdr:col>5</xdr:col>
      <xdr:colOff>473275</xdr:colOff>
      <xdr:row>6</xdr:row>
      <xdr:rowOff>46003</xdr:rowOff>
    </xdr:to>
    <xdr:sp macro="" textlink="">
      <xdr:nvSpPr>
        <xdr:cNvPr id="11" name="Rectangle: Rounded Corners 10">
          <a:extLst>
            <a:ext uri="{FF2B5EF4-FFF2-40B4-BE49-F238E27FC236}">
              <a16:creationId xmlns:a16="http://schemas.microsoft.com/office/drawing/2014/main" id="{D57D76EF-F504-5AF5-7D29-5E14A37EF055}"/>
            </a:ext>
          </a:extLst>
        </xdr:cNvPr>
        <xdr:cNvSpPr/>
      </xdr:nvSpPr>
      <xdr:spPr>
        <a:xfrm>
          <a:off x="1782770" y="696738"/>
          <a:ext cx="1758297" cy="418044"/>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latin typeface="Arial Black" panose="020B0A04020102020204" pitchFamily="34" charset="0"/>
            </a:rPr>
            <a:t> Final Report</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22.502028240742" createdVersion="8" refreshedVersion="8" minRefreshableVersion="3" recordCount="40" xr:uid="{9557F6E9-6864-4D78-BAD7-0DDC942276C6}">
  <cacheSource type="worksheet">
    <worksheetSource ref="A1:AC1048576" sheet="Additional Details"/>
  </cacheSource>
  <cacheFields count="29">
    <cacheField name="StudentID" numFmtId="0">
      <sharedItems containsString="0" containsBlank="1" containsNumber="1" containsInteger="1" minValue="1001" maxValue="1039"/>
    </cacheField>
    <cacheField name="Student name" numFmtId="0">
      <sharedItems containsBlank="1" count="40">
        <s v="James Walker"/>
        <s v="Velma Clemons"/>
        <s v="Kibo Underwood"/>
        <s v="Louis Mcgee"/>
        <s v="Phyllis Paul"/>
        <s v="Zenaida Decker"/>
        <s v="Gillian Tillman"/>
        <s v="Constance Boone"/>
        <s v="Giselle Lancaster"/>
        <s v="Kirsten Mcdowell"/>
        <s v="Solomon Ray"/>
        <s v="John Marshall"/>
        <s v="Merrill Carney"/>
        <s v="Hakeem Gillespie"/>
        <s v="Hayden Boyer"/>
        <s v="Griffin Mcleod"/>
        <s v="Allistair Patton"/>
        <s v="Rina Slater"/>
        <s v="Caldwell Skinner"/>
        <s v="Portia Galloway"/>
        <s v="Noelle Valentine"/>
        <s v="Abel Clay"/>
        <s v="Stephanie Kent"/>
        <s v="Axel Petty"/>
        <s v="Nevada Morales"/>
        <s v="Fuller Bush"/>
        <s v="Quinn Mayo"/>
        <s v="Marcia Shepard"/>
        <s v="Kieran Moody"/>
        <s v="Brielle Thompson"/>
        <s v="Hashim Gay"/>
        <s v="Deborah Roberts"/>
        <s v="Nomlanga Clarke"/>
        <s v="Elaine Downs"/>
        <s v="Christen Ballard"/>
        <s v="Dacey Baxter"/>
        <s v="Nasim Sampson"/>
        <s v="Yoshi Sherman"/>
        <s v="Stacy Small"/>
        <m/>
      </sharedItems>
    </cacheField>
    <cacheField name="Age" numFmtId="0">
      <sharedItems containsString="0" containsBlank="1" containsNumber="1" containsInteger="1" minValue="15" maxValue="18"/>
    </cacheField>
    <cacheField name="Gender" numFmtId="0">
      <sharedItems containsBlank="1"/>
    </cacheField>
    <cacheField name="Biology" numFmtId="0">
      <sharedItems containsString="0" containsBlank="1" containsNumber="1" containsInteger="1" minValue="1" maxValue="100"/>
    </cacheField>
    <cacheField name="Chemistry" numFmtId="0">
      <sharedItems containsString="0" containsBlank="1" containsNumber="1" containsInteger="1" minValue="1" maxValue="100"/>
    </cacheField>
    <cacheField name="Mathematics" numFmtId="0">
      <sharedItems containsString="0" containsBlank="1" containsNumber="1" containsInteger="1" minValue="5" maxValue="100"/>
    </cacheField>
    <cacheField name="Philosophy" numFmtId="0">
      <sharedItems containsString="0" containsBlank="1" containsNumber="1" containsInteger="1" minValue="0" maxValue="99"/>
    </cacheField>
    <cacheField name="Physics" numFmtId="0">
      <sharedItems containsString="0" containsBlank="1" containsNumber="1" containsInteger="1" minValue="8" maxValue="100"/>
    </cacheField>
    <cacheField name="sociology" numFmtId="0">
      <sharedItems containsString="0" containsBlank="1" containsNumber="1" containsInteger="1" minValue="1" maxValue="99"/>
    </cacheField>
    <cacheField name="Totalm Percentage" numFmtId="0">
      <sharedItems containsString="0" containsBlank="1" containsNumber="1" containsInteger="1" minValue="100" maxValue="100"/>
    </cacheField>
    <cacheField name="Obtained Percentage" numFmtId="0">
      <sharedItems containsString="0" containsBlank="1" containsNumber="1" minValue="28.166666666666668" maxValue="79.166666666666671"/>
    </cacheField>
    <cacheField name="Remaining Percentage" numFmtId="0">
      <sharedItems containsString="0" containsBlank="1" containsNumber="1" minValue="20.833333333333329" maxValue="71.833333333333329"/>
    </cacheField>
    <cacheField name="Ethnicity" numFmtId="0">
      <sharedItems containsString="0" containsBlank="1" containsNumber="1" containsInteger="1" minValue="0" maxValue="3"/>
    </cacheField>
    <cacheField name="ParentalEducation" numFmtId="0">
      <sharedItems containsString="0" containsBlank="1" containsNumber="1" containsInteger="1" minValue="0" maxValue="4"/>
    </cacheField>
    <cacheField name="Total Time " numFmtId="0">
      <sharedItems containsString="0" containsBlank="1" containsNumber="1" containsInteger="1" minValue="25" maxValue="25"/>
    </cacheField>
    <cacheField name="StudyTimeWeekly" numFmtId="2">
      <sharedItems containsString="0" containsBlank="1" containsNumber="1" minValue="2.2521845869844102" maxValue="19.833722807854699"/>
    </cacheField>
    <cacheField name="Remaining Study" numFmtId="2">
      <sharedItems containsString="0" containsBlank="1" containsNumber="1" minValue="5.1662771921453015" maxValue="22.747815413015591"/>
    </cacheField>
    <cacheField name="Total days" numFmtId="0">
      <sharedItems containsString="0" containsBlank="1" containsNumber="1" containsInteger="1" minValue="100" maxValue="100"/>
    </cacheField>
    <cacheField name="Absences" numFmtId="0">
      <sharedItems containsString="0" containsBlank="1" containsNumber="1" containsInteger="1" minValue="0" maxValue="29"/>
    </cacheField>
    <cacheField name="Remaining Absences" numFmtId="0">
      <sharedItems containsString="0" containsBlank="1" containsNumber="1" containsInteger="1" minValue="71" maxValue="100"/>
    </cacheField>
    <cacheField name="Tutoring" numFmtId="0">
      <sharedItems containsString="0" containsBlank="1" containsNumber="1" containsInteger="1" minValue="0" maxValue="1"/>
    </cacheField>
    <cacheField name="ParentalSupport" numFmtId="0">
      <sharedItems containsString="0" containsBlank="1" containsNumber="1" containsInteger="1" minValue="0" maxValue="4"/>
    </cacheField>
    <cacheField name="Extracurricular" numFmtId="0">
      <sharedItems containsString="0" containsBlank="1" containsNumber="1" containsInteger="1" minValue="0" maxValue="1"/>
    </cacheField>
    <cacheField name="Sports" numFmtId="0">
      <sharedItems containsString="0" containsBlank="1" containsNumber="1" containsInteger="1" minValue="0" maxValue="1"/>
    </cacheField>
    <cacheField name="Music" numFmtId="0">
      <sharedItems containsString="0" containsBlank="1" containsNumber="1" containsInteger="1" minValue="0" maxValue="1"/>
    </cacheField>
    <cacheField name="Volunteering" numFmtId="0">
      <sharedItems containsString="0" containsBlank="1" containsNumber="1" containsInteger="1" minValue="0" maxValue="1"/>
    </cacheField>
    <cacheField name="GPA" numFmtId="0">
      <sharedItems containsString="0" containsBlank="1" containsNumber="1" minValue="0.112602254466181" maxValue="3.5734742103297599"/>
    </cacheField>
    <cacheField name="GradeClass" numFmtId="0">
      <sharedItems containsBlank="1" count="6">
        <s v="A"/>
        <s v="A+"/>
        <s v="C"/>
        <s v="B"/>
        <s v="Fail"/>
        <m/>
      </sharedItems>
    </cacheField>
  </cacheFields>
  <extLst>
    <ext xmlns:x14="http://schemas.microsoft.com/office/spreadsheetml/2009/9/main" uri="{725AE2AE-9491-48be-B2B4-4EB974FC3084}">
      <x14:pivotCacheDefinition pivotCacheId="6681023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n v="1001"/>
    <x v="0"/>
    <n v="17"/>
    <s v="Male"/>
    <n v="31"/>
    <n v="52"/>
    <n v="48"/>
    <n v="35"/>
    <n v="69"/>
    <n v="70"/>
    <n v="100"/>
    <n v="50.833333333333336"/>
    <n v="49.166666666666664"/>
    <n v="0"/>
    <n v="2"/>
    <n v="25"/>
    <n v="19.833722807854699"/>
    <n v="5.1662771921453015"/>
    <n v="100"/>
    <n v="7"/>
    <n v="93"/>
    <n v="1"/>
    <n v="2"/>
    <n v="0"/>
    <n v="0"/>
    <n v="1"/>
    <n v="0"/>
    <n v="2.9291955916676802"/>
    <x v="0"/>
  </r>
  <r>
    <n v="1002"/>
    <x v="1"/>
    <n v="18"/>
    <s v="female"/>
    <n v="43"/>
    <n v="20"/>
    <n v="5"/>
    <n v="66"/>
    <n v="95"/>
    <n v="37"/>
    <n v="100"/>
    <n v="44.333333333333336"/>
    <n v="55.666666666666664"/>
    <n v="0"/>
    <n v="1"/>
    <n v="25"/>
    <n v="15.4087560558467"/>
    <n v="9.5912439441532999"/>
    <n v="100"/>
    <n v="0"/>
    <n v="100"/>
    <n v="0"/>
    <n v="1"/>
    <n v="0"/>
    <n v="0"/>
    <n v="0"/>
    <n v="0"/>
    <n v="3.0429148334363698"/>
    <x v="1"/>
  </r>
  <r>
    <n v="1003"/>
    <x v="2"/>
    <n v="15"/>
    <s v="female"/>
    <n v="81"/>
    <n v="32"/>
    <n v="7"/>
    <n v="29"/>
    <n v="33"/>
    <n v="68"/>
    <n v="100"/>
    <n v="41.666666666666664"/>
    <n v="58.333333333333336"/>
    <n v="2"/>
    <n v="3"/>
    <n v="25"/>
    <n v="4.2105697688122596"/>
    <n v="20.78943023118774"/>
    <n v="100"/>
    <n v="26"/>
    <n v="74"/>
    <n v="0"/>
    <n v="2"/>
    <n v="0"/>
    <n v="0"/>
    <n v="0"/>
    <n v="0"/>
    <n v="0.112602254466181"/>
    <x v="2"/>
  </r>
  <r>
    <n v="1004"/>
    <x v="3"/>
    <n v="17"/>
    <s v="Male"/>
    <n v="11"/>
    <n v="19"/>
    <n v="70"/>
    <n v="91"/>
    <n v="76"/>
    <n v="60"/>
    <n v="100"/>
    <n v="54.5"/>
    <n v="45.5"/>
    <n v="0"/>
    <n v="3"/>
    <n v="25"/>
    <n v="10.028829473958201"/>
    <n v="14.971170526041799"/>
    <n v="100"/>
    <n v="14"/>
    <n v="86"/>
    <n v="0"/>
    <n v="3"/>
    <n v="1"/>
    <n v="0"/>
    <n v="0"/>
    <n v="0"/>
    <n v="2.05421813970294"/>
    <x v="3"/>
  </r>
  <r>
    <n v="1005"/>
    <x v="4"/>
    <n v="17"/>
    <s v="Male"/>
    <n v="18"/>
    <n v="61"/>
    <n v="73"/>
    <n v="63"/>
    <n v="20"/>
    <n v="98"/>
    <n v="100"/>
    <n v="55.5"/>
    <n v="44.5"/>
    <n v="0"/>
    <n v="2"/>
    <n v="25"/>
    <n v="4.6724952729713296"/>
    <n v="20.327504727028671"/>
    <n v="100"/>
    <n v="17"/>
    <n v="83"/>
    <n v="1"/>
    <n v="3"/>
    <n v="0"/>
    <n v="0"/>
    <n v="0"/>
    <n v="0"/>
    <n v="1.28806118179538"/>
    <x v="2"/>
  </r>
  <r>
    <n v="1006"/>
    <x v="5"/>
    <n v="18"/>
    <s v="female"/>
    <n v="55"/>
    <n v="34"/>
    <n v="59"/>
    <n v="16"/>
    <n v="10"/>
    <n v="20"/>
    <n v="100"/>
    <n v="32.333333333333336"/>
    <n v="67.666666666666657"/>
    <n v="0"/>
    <n v="1"/>
    <n v="25"/>
    <n v="8.1912185452501802"/>
    <n v="16.80878145474982"/>
    <n v="100"/>
    <n v="0"/>
    <n v="100"/>
    <n v="0"/>
    <n v="1"/>
    <n v="1"/>
    <n v="0"/>
    <n v="0"/>
    <n v="0"/>
    <n v="3.0841836144863901"/>
    <x v="1"/>
  </r>
  <r>
    <n v="1007"/>
    <x v="6"/>
    <n v="15"/>
    <s v="female"/>
    <n v="38"/>
    <n v="9"/>
    <n v="23"/>
    <n v="10"/>
    <n v="72"/>
    <n v="32"/>
    <n v="100"/>
    <n v="30.666666666666668"/>
    <n v="69.333333333333329"/>
    <n v="1"/>
    <n v="1"/>
    <n v="25"/>
    <n v="15.601680474699201"/>
    <n v="9.3983195253007992"/>
    <n v="100"/>
    <n v="10"/>
    <n v="90"/>
    <n v="0"/>
    <n v="3"/>
    <n v="0"/>
    <n v="1"/>
    <n v="0"/>
    <n v="0"/>
    <n v="2.7482374148915798"/>
    <x v="0"/>
  </r>
  <r>
    <n v="1008"/>
    <x v="7"/>
    <n v="15"/>
    <s v="Male"/>
    <n v="16"/>
    <n v="22"/>
    <n v="72"/>
    <n v="23"/>
    <n v="80"/>
    <n v="40"/>
    <n v="100"/>
    <n v="42.166666666666664"/>
    <n v="57.833333333333336"/>
    <n v="1"/>
    <n v="4"/>
    <n v="25"/>
    <n v="15.424496305808001"/>
    <n v="9.5755036941919993"/>
    <n v="100"/>
    <n v="22"/>
    <n v="78"/>
    <n v="1"/>
    <n v="1"/>
    <n v="1"/>
    <n v="0"/>
    <n v="0"/>
    <n v="0"/>
    <n v="1.36014271231646"/>
    <x v="2"/>
  </r>
  <r>
    <n v="1009"/>
    <x v="8"/>
    <n v="17"/>
    <s v="female"/>
    <n v="73"/>
    <n v="46"/>
    <n v="31"/>
    <n v="72"/>
    <n v="22"/>
    <n v="97"/>
    <n v="100"/>
    <n v="56.833333333333336"/>
    <n v="43.166666666666664"/>
    <n v="0"/>
    <n v="0"/>
    <n v="25"/>
    <n v="4.5620075580477"/>
    <n v="20.4379924419523"/>
    <n v="100"/>
    <n v="1"/>
    <n v="99"/>
    <n v="0"/>
    <n v="2"/>
    <n v="0"/>
    <n v="1"/>
    <n v="0"/>
    <n v="1"/>
    <n v="2.8968191895135602"/>
    <x v="0"/>
  </r>
  <r>
    <n v="1010"/>
    <x v="9"/>
    <n v="16"/>
    <s v="Male"/>
    <n v="16"/>
    <n v="100"/>
    <n v="74"/>
    <n v="93"/>
    <n v="8"/>
    <n v="1"/>
    <n v="100"/>
    <n v="48.666666666666664"/>
    <n v="51.333333333333336"/>
    <n v="0"/>
    <n v="1"/>
    <n v="25"/>
    <n v="18.444466363097199"/>
    <n v="6.5555336369028012"/>
    <n v="100"/>
    <n v="0"/>
    <n v="100"/>
    <n v="0"/>
    <n v="3"/>
    <n v="1"/>
    <n v="0"/>
    <n v="0"/>
    <n v="0"/>
    <n v="3.5734742103297599"/>
    <x v="4"/>
  </r>
  <r>
    <n v="1011"/>
    <x v="10"/>
    <n v="17"/>
    <s v="female"/>
    <n v="23"/>
    <n v="92"/>
    <n v="91"/>
    <n v="10"/>
    <n v="100"/>
    <n v="6"/>
    <n v="100"/>
    <n v="53.666666666666664"/>
    <n v="46.333333333333336"/>
    <n v="0"/>
    <n v="1"/>
    <n v="25"/>
    <n v="11.851363655296501"/>
    <n v="13.148636344703499"/>
    <n v="100"/>
    <n v="11"/>
    <n v="89"/>
    <n v="0"/>
    <n v="1"/>
    <n v="0"/>
    <n v="0"/>
    <n v="0"/>
    <n v="0"/>
    <n v="2.14717162501851"/>
    <x v="3"/>
  </r>
  <r>
    <n v="1012"/>
    <x v="11"/>
    <n v="17"/>
    <s v="female"/>
    <n v="55"/>
    <n v="1"/>
    <n v="53"/>
    <n v="99"/>
    <n v="49"/>
    <n v="39"/>
    <n v="100"/>
    <n v="49.333333333333336"/>
    <n v="50.666666666666664"/>
    <n v="0"/>
    <n v="1"/>
    <n v="25"/>
    <n v="7.59848581924029"/>
    <n v="17.401514180759712"/>
    <n v="100"/>
    <n v="15"/>
    <n v="85"/>
    <n v="0"/>
    <n v="2"/>
    <n v="0"/>
    <n v="0"/>
    <n v="0"/>
    <n v="1"/>
    <n v="1.55959451904027"/>
    <x v="2"/>
  </r>
  <r>
    <n v="1013"/>
    <x v="12"/>
    <n v="17"/>
    <s v="female"/>
    <n v="71"/>
    <n v="84"/>
    <n v="56"/>
    <n v="78"/>
    <n v="70"/>
    <n v="68"/>
    <n v="100"/>
    <n v="71.166666666666671"/>
    <n v="28.833333333333329"/>
    <n v="1"/>
    <n v="1"/>
    <n v="25"/>
    <n v="10.038711615617199"/>
    <n v="14.961288384382801"/>
    <n v="100"/>
    <n v="21"/>
    <n v="79"/>
    <n v="0"/>
    <n v="3"/>
    <n v="1"/>
    <n v="0"/>
    <n v="0"/>
    <n v="0"/>
    <n v="1.5200778148748"/>
    <x v="2"/>
  </r>
  <r>
    <n v="1014"/>
    <x v="13"/>
    <n v="17"/>
    <s v="female"/>
    <n v="12"/>
    <n v="63"/>
    <n v="53"/>
    <n v="81"/>
    <n v="86"/>
    <n v="37"/>
    <n v="100"/>
    <n v="55.333333333333336"/>
    <n v="44.666666666666664"/>
    <n v="1"/>
    <n v="2"/>
    <n v="25"/>
    <n v="12.1014250687548"/>
    <n v="12.8985749312452"/>
    <n v="100"/>
    <n v="21"/>
    <n v="79"/>
    <n v="0"/>
    <n v="4"/>
    <n v="0"/>
    <n v="1"/>
    <n v="0"/>
    <n v="0"/>
    <n v="1.75158095833407"/>
    <x v="2"/>
  </r>
  <r>
    <n v="1015"/>
    <x v="14"/>
    <n v="18"/>
    <s v="Male"/>
    <n v="77"/>
    <n v="59"/>
    <n v="100"/>
    <n v="40"/>
    <n v="15"/>
    <n v="37"/>
    <n v="100"/>
    <n v="54.666666666666664"/>
    <n v="45.333333333333336"/>
    <n v="0"/>
    <n v="1"/>
    <n v="25"/>
    <n v="11.197810636915699"/>
    <n v="13.802189363084301"/>
    <n v="100"/>
    <n v="9"/>
    <n v="91"/>
    <n v="1"/>
    <n v="2"/>
    <n v="0"/>
    <n v="0"/>
    <n v="0"/>
    <n v="0"/>
    <n v="2.3967881171247898"/>
    <x v="3"/>
  </r>
  <r>
    <n v="1016"/>
    <x v="15"/>
    <n v="15"/>
    <s v="female"/>
    <n v="19"/>
    <n v="61"/>
    <n v="50"/>
    <n v="23"/>
    <n v="95"/>
    <n v="90"/>
    <n v="100"/>
    <n v="56.333333333333336"/>
    <n v="43.666666666666664"/>
    <n v="0"/>
    <n v="2"/>
    <n v="25"/>
    <n v="9.7281007107235595"/>
    <n v="15.27189928927644"/>
    <n v="100"/>
    <n v="17"/>
    <n v="83"/>
    <n v="1"/>
    <n v="0"/>
    <n v="0"/>
    <n v="1"/>
    <n v="0"/>
    <n v="0"/>
    <n v="1.3415207165346601"/>
    <x v="2"/>
  </r>
  <r>
    <n v="1017"/>
    <x v="16"/>
    <n v="18"/>
    <s v="female"/>
    <n v="57"/>
    <n v="47"/>
    <n v="60"/>
    <n v="65"/>
    <n v="77"/>
    <n v="38"/>
    <n v="100"/>
    <n v="57.333333333333336"/>
    <n v="42.666666666666664"/>
    <n v="3"/>
    <n v="1"/>
    <n v="25"/>
    <n v="10.098656081788"/>
    <n v="14.901343918212"/>
    <n v="100"/>
    <n v="14"/>
    <n v="86"/>
    <n v="0"/>
    <n v="2"/>
    <n v="1"/>
    <n v="1"/>
    <n v="0"/>
    <n v="0"/>
    <n v="2.23217527771597"/>
    <x v="3"/>
  </r>
  <r>
    <n v="1018"/>
    <x v="17"/>
    <n v="18"/>
    <s v="Male"/>
    <n v="78"/>
    <n v="27"/>
    <n v="38"/>
    <n v="24"/>
    <n v="20"/>
    <n v="87"/>
    <n v="100"/>
    <n v="45.666666666666664"/>
    <n v="54.333333333333336"/>
    <n v="0"/>
    <n v="0"/>
    <n v="25"/>
    <n v="3.52823820855772"/>
    <n v="21.47176179144228"/>
    <n v="100"/>
    <n v="16"/>
    <n v="84"/>
    <n v="1"/>
    <n v="2"/>
    <n v="0"/>
    <n v="0"/>
    <n v="0"/>
    <n v="0"/>
    <n v="1.38440417569403"/>
    <x v="2"/>
  </r>
  <r>
    <n v="1019"/>
    <x v="18"/>
    <n v="18"/>
    <s v="female"/>
    <n v="92"/>
    <n v="99"/>
    <n v="33"/>
    <n v="62"/>
    <n v="31"/>
    <n v="45"/>
    <n v="100"/>
    <n v="60.333333333333336"/>
    <n v="39.666666666666664"/>
    <n v="1"/>
    <n v="3"/>
    <n v="25"/>
    <n v="16.254658086093499"/>
    <n v="8.7453419139065005"/>
    <n v="100"/>
    <n v="29"/>
    <n v="71"/>
    <n v="0"/>
    <n v="2"/>
    <n v="1"/>
    <n v="0"/>
    <n v="0"/>
    <n v="1"/>
    <n v="0.46955332337986999"/>
    <x v="2"/>
  </r>
  <r>
    <n v="1020"/>
    <x v="19"/>
    <n v="17"/>
    <s v="female"/>
    <n v="23"/>
    <n v="84"/>
    <n v="75"/>
    <n v="41"/>
    <n v="48"/>
    <n v="73"/>
    <n v="100"/>
    <n v="57.333333333333336"/>
    <n v="42.666666666666664"/>
    <n v="0"/>
    <n v="1"/>
    <n v="25"/>
    <n v="10.835206398820301"/>
    <n v="14.164793601179699"/>
    <n v="100"/>
    <n v="9"/>
    <n v="91"/>
    <n v="0"/>
    <n v="2"/>
    <n v="0"/>
    <n v="0"/>
    <n v="1"/>
    <n v="0"/>
    <n v="2.3957840945306899"/>
    <x v="3"/>
  </r>
  <r>
    <n v="1021"/>
    <x v="20"/>
    <n v="16"/>
    <s v="Male"/>
    <n v="62"/>
    <n v="95"/>
    <n v="74"/>
    <n v="42"/>
    <n v="26"/>
    <n v="36"/>
    <n v="100"/>
    <n v="55.833333333333336"/>
    <n v="44.166666666666664"/>
    <n v="0"/>
    <n v="3"/>
    <n v="25"/>
    <n v="2.6215972340940601"/>
    <n v="22.378402765905939"/>
    <n v="100"/>
    <n v="2"/>
    <n v="98"/>
    <n v="0"/>
    <n v="3"/>
    <n v="0"/>
    <n v="0"/>
    <n v="0"/>
    <n v="1"/>
    <n v="2.7784112999206498"/>
    <x v="0"/>
  </r>
  <r>
    <n v="1022"/>
    <x v="21"/>
    <n v="15"/>
    <s v="female"/>
    <n v="1"/>
    <n v="50"/>
    <n v="7"/>
    <n v="8"/>
    <n v="68"/>
    <n v="35"/>
    <n v="100"/>
    <n v="28.166666666666668"/>
    <n v="71.833333333333329"/>
    <n v="0"/>
    <n v="2"/>
    <n v="25"/>
    <n v="15.3231420316555"/>
    <n v="9.6768579683444997"/>
    <n v="100"/>
    <n v="25"/>
    <n v="75"/>
    <n v="0"/>
    <n v="1"/>
    <n v="1"/>
    <n v="0"/>
    <n v="0"/>
    <n v="0"/>
    <n v="0.34689403670501401"/>
    <x v="2"/>
  </r>
  <r>
    <n v="1023"/>
    <x v="22"/>
    <n v="16"/>
    <s v="Male"/>
    <n v="100"/>
    <n v="27"/>
    <n v="6"/>
    <n v="91"/>
    <n v="42"/>
    <n v="85"/>
    <n v="100"/>
    <n v="58.5"/>
    <n v="41.5"/>
    <n v="1"/>
    <n v="0"/>
    <n v="25"/>
    <n v="18.648879567546999"/>
    <n v="6.3511204324530013"/>
    <n v="100"/>
    <n v="29"/>
    <n v="71"/>
    <n v="1"/>
    <n v="1"/>
    <n v="0"/>
    <n v="0"/>
    <n v="0"/>
    <n v="0"/>
    <n v="0.31254623052535402"/>
    <x v="2"/>
  </r>
  <r>
    <n v="1024"/>
    <x v="23"/>
    <n v="18"/>
    <s v="Male"/>
    <n v="49"/>
    <n v="39"/>
    <n v="40"/>
    <n v="69"/>
    <n v="39"/>
    <n v="7"/>
    <n v="100"/>
    <n v="40.5"/>
    <n v="59.5"/>
    <n v="3"/>
    <n v="4"/>
    <n v="25"/>
    <n v="18.946137984739199"/>
    <n v="6.0538620152608011"/>
    <n v="100"/>
    <n v="20"/>
    <n v="80"/>
    <n v="0"/>
    <n v="2"/>
    <n v="1"/>
    <n v="0"/>
    <n v="0"/>
    <n v="0"/>
    <n v="1.7701318767799701"/>
    <x v="2"/>
  </r>
  <r>
    <n v="1025"/>
    <x v="24"/>
    <n v="18"/>
    <s v="Male"/>
    <n v="41"/>
    <n v="71"/>
    <n v="14"/>
    <n v="47"/>
    <n v="55"/>
    <n v="67"/>
    <n v="100"/>
    <n v="49.166666666666664"/>
    <n v="50.833333333333336"/>
    <n v="0"/>
    <n v="1"/>
    <n v="25"/>
    <n v="7.3803546482234497"/>
    <n v="17.619645351776551"/>
    <n v="100"/>
    <n v="15"/>
    <n v="85"/>
    <n v="0"/>
    <n v="2"/>
    <n v="0"/>
    <n v="0"/>
    <n v="0"/>
    <n v="0"/>
    <n v="1.5051556220362801"/>
    <x v="2"/>
  </r>
  <r>
    <n v="1026"/>
    <x v="25"/>
    <n v="16"/>
    <s v="Male"/>
    <n v="47"/>
    <n v="83"/>
    <n v="16"/>
    <n v="0"/>
    <n v="41"/>
    <n v="80"/>
    <n v="100"/>
    <n v="44.5"/>
    <n v="55.5"/>
    <n v="0"/>
    <n v="3"/>
    <n v="25"/>
    <n v="2.7103374712150798"/>
    <n v="22.28966252878492"/>
    <n v="100"/>
    <n v="5"/>
    <n v="95"/>
    <n v="0"/>
    <n v="4"/>
    <n v="0"/>
    <n v="0"/>
    <n v="1"/>
    <n v="0"/>
    <n v="2.9778519183157401"/>
    <x v="0"/>
  </r>
  <r>
    <n v="1027"/>
    <x v="26"/>
    <n v="16"/>
    <s v="female"/>
    <n v="24"/>
    <n v="38"/>
    <n v="31"/>
    <n v="42"/>
    <n v="58"/>
    <n v="55"/>
    <n v="100"/>
    <n v="41.333333333333336"/>
    <n v="58.666666666666664"/>
    <n v="0"/>
    <n v="1"/>
    <n v="25"/>
    <n v="10.367992532661299"/>
    <n v="14.632007467338701"/>
    <n v="100"/>
    <n v="2"/>
    <n v="98"/>
    <n v="0"/>
    <n v="2"/>
    <n v="0"/>
    <n v="1"/>
    <n v="0"/>
    <n v="0"/>
    <n v="2.9487176719119201"/>
    <x v="0"/>
  </r>
  <r>
    <n v="1028"/>
    <x v="27"/>
    <n v="16"/>
    <s v="Male"/>
    <n v="33"/>
    <n v="84"/>
    <n v="72"/>
    <n v="65"/>
    <n v="38"/>
    <n v="83"/>
    <n v="100"/>
    <n v="62.5"/>
    <n v="37.5"/>
    <n v="0"/>
    <n v="3"/>
    <n v="25"/>
    <n v="2.2521845869844102"/>
    <n v="22.747815413015591"/>
    <n v="100"/>
    <n v="8"/>
    <n v="92"/>
    <n v="0"/>
    <n v="3"/>
    <n v="0"/>
    <n v="0"/>
    <n v="1"/>
    <n v="0"/>
    <n v="2.14520472046719"/>
    <x v="3"/>
  </r>
  <r>
    <n v="1029"/>
    <x v="28"/>
    <n v="18"/>
    <s v="female"/>
    <n v="45"/>
    <n v="33"/>
    <n v="48"/>
    <n v="42"/>
    <n v="46"/>
    <n v="67"/>
    <n v="100"/>
    <n v="46.833333333333336"/>
    <n v="53.166666666666664"/>
    <n v="0"/>
    <n v="0"/>
    <n v="25"/>
    <n v="18.679748370252302"/>
    <n v="6.3202516297476983"/>
    <n v="100"/>
    <n v="10"/>
    <n v="90"/>
    <n v="0"/>
    <n v="3"/>
    <n v="1"/>
    <n v="0"/>
    <n v="0"/>
    <n v="0"/>
    <n v="2.8548039289813101"/>
    <x v="0"/>
  </r>
  <r>
    <n v="1030"/>
    <x v="29"/>
    <n v="18"/>
    <s v="female"/>
    <n v="41"/>
    <n v="54"/>
    <n v="53"/>
    <n v="32"/>
    <n v="81"/>
    <n v="27"/>
    <n v="100"/>
    <n v="48"/>
    <n v="52"/>
    <n v="0"/>
    <n v="2"/>
    <n v="25"/>
    <n v="3.6715925471029198"/>
    <n v="21.328407452897082"/>
    <n v="100"/>
    <n v="20"/>
    <n v="80"/>
    <n v="0"/>
    <n v="3"/>
    <n v="1"/>
    <n v="0"/>
    <n v="0"/>
    <n v="0"/>
    <n v="1.51944172581513"/>
    <x v="2"/>
  </r>
  <r>
    <n v="1031"/>
    <x v="30"/>
    <n v="15"/>
    <s v="female"/>
    <n v="78"/>
    <n v="80"/>
    <n v="67"/>
    <n v="33"/>
    <n v="86"/>
    <n v="94"/>
    <n v="100"/>
    <n v="73"/>
    <n v="27"/>
    <n v="2"/>
    <n v="2"/>
    <n v="25"/>
    <n v="5.0553171990232801"/>
    <n v="19.944682800976722"/>
    <n v="100"/>
    <n v="12"/>
    <n v="88"/>
    <n v="1"/>
    <n v="0"/>
    <n v="0"/>
    <n v="1"/>
    <n v="0"/>
    <n v="0"/>
    <n v="1.7271203095223999"/>
    <x v="2"/>
  </r>
  <r>
    <n v="1032"/>
    <x v="31"/>
    <n v="15"/>
    <s v="female"/>
    <n v="25"/>
    <n v="87"/>
    <n v="23"/>
    <n v="4"/>
    <n v="52"/>
    <n v="96"/>
    <n v="100"/>
    <n v="47.833333333333336"/>
    <n v="52.166666666666664"/>
    <n v="0"/>
    <n v="3"/>
    <n v="25"/>
    <n v="8.1327305376994001"/>
    <n v="16.867269462300598"/>
    <n v="100"/>
    <n v="17"/>
    <n v="83"/>
    <n v="0"/>
    <n v="4"/>
    <n v="0"/>
    <n v="0"/>
    <n v="0"/>
    <n v="1"/>
    <n v="1.8475354711387899"/>
    <x v="2"/>
  </r>
  <r>
    <n v="1033"/>
    <x v="32"/>
    <n v="18"/>
    <s v="female"/>
    <n v="44"/>
    <n v="53"/>
    <n v="90"/>
    <n v="27"/>
    <n v="72"/>
    <n v="99"/>
    <n v="100"/>
    <n v="64.166666666666671"/>
    <n v="35.833333333333329"/>
    <n v="0"/>
    <n v="3"/>
    <n v="25"/>
    <n v="7.6632893711825103"/>
    <n v="17.336710628817489"/>
    <n v="100"/>
    <n v="25"/>
    <n v="75"/>
    <n v="0"/>
    <n v="1"/>
    <n v="0"/>
    <n v="1"/>
    <n v="0"/>
    <n v="0"/>
    <n v="0.38461697285648699"/>
    <x v="2"/>
  </r>
  <r>
    <n v="1034"/>
    <x v="33"/>
    <n v="16"/>
    <s v="female"/>
    <n v="86"/>
    <n v="83"/>
    <n v="87"/>
    <n v="56"/>
    <n v="99"/>
    <n v="64"/>
    <n v="100"/>
    <n v="79.166666666666671"/>
    <n v="20.833333333333329"/>
    <n v="3"/>
    <n v="3"/>
    <n v="25"/>
    <n v="15.893257847957701"/>
    <n v="9.1067421520422993"/>
    <n v="100"/>
    <n v="21"/>
    <n v="79"/>
    <n v="0"/>
    <n v="0"/>
    <n v="1"/>
    <n v="1"/>
    <n v="0"/>
    <n v="0"/>
    <n v="0.94940609779728002"/>
    <x v="2"/>
  </r>
  <r>
    <n v="1035"/>
    <x v="34"/>
    <n v="16"/>
    <s v="female"/>
    <n v="97"/>
    <n v="75"/>
    <n v="40"/>
    <n v="36"/>
    <n v="73"/>
    <n v="52"/>
    <n v="100"/>
    <n v="62.166666666666664"/>
    <n v="37.833333333333336"/>
    <n v="0"/>
    <n v="3"/>
    <n v="25"/>
    <n v="9.1263364110192402"/>
    <n v="15.87366358898076"/>
    <n v="100"/>
    <n v="27"/>
    <n v="73"/>
    <n v="1"/>
    <n v="2"/>
    <n v="1"/>
    <n v="1"/>
    <n v="0"/>
    <n v="0"/>
    <n v="1.14095941842033"/>
    <x v="2"/>
  </r>
  <r>
    <n v="1036"/>
    <x v="35"/>
    <n v="15"/>
    <s v="female"/>
    <n v="35"/>
    <n v="72"/>
    <n v="26"/>
    <n v="51"/>
    <n v="83"/>
    <n v="16"/>
    <n v="100"/>
    <n v="47.166666666666664"/>
    <n v="52.833333333333336"/>
    <n v="3"/>
    <n v="1"/>
    <n v="25"/>
    <n v="3.4153652000667298"/>
    <n v="21.584634799933269"/>
    <n v="100"/>
    <n v="23"/>
    <n v="77"/>
    <n v="0"/>
    <n v="1"/>
    <n v="0"/>
    <n v="0"/>
    <n v="0"/>
    <n v="0"/>
    <n v="0.26147226005075203"/>
    <x v="2"/>
  </r>
  <r>
    <n v="1037"/>
    <x v="36"/>
    <n v="18"/>
    <s v="female"/>
    <n v="75"/>
    <n v="64"/>
    <n v="51"/>
    <n v="71"/>
    <n v="90"/>
    <n v="34"/>
    <n v="100"/>
    <n v="64.166666666666671"/>
    <n v="35.833333333333329"/>
    <n v="0"/>
    <n v="1"/>
    <n v="25"/>
    <n v="5.3441979097214798"/>
    <n v="19.65580209027852"/>
    <n v="100"/>
    <n v="26"/>
    <n v="74"/>
    <n v="1"/>
    <n v="1"/>
    <n v="0"/>
    <n v="0"/>
    <n v="0"/>
    <n v="0"/>
    <n v="0.21828485682103099"/>
    <x v="2"/>
  </r>
  <r>
    <n v="1038"/>
    <x v="37"/>
    <n v="15"/>
    <s v="female"/>
    <n v="48"/>
    <n v="100"/>
    <n v="56"/>
    <n v="52"/>
    <n v="39"/>
    <n v="76"/>
    <n v="100"/>
    <n v="61.833333333333336"/>
    <n v="38.166666666666664"/>
    <n v="2"/>
    <n v="1"/>
    <n v="25"/>
    <n v="10.1822677037504"/>
    <n v="14.8177322962496"/>
    <n v="100"/>
    <n v="21"/>
    <n v="79"/>
    <n v="1"/>
    <n v="1"/>
    <n v="0"/>
    <n v="1"/>
    <n v="0"/>
    <n v="0"/>
    <n v="1.0677635510419701"/>
    <x v="2"/>
  </r>
  <r>
    <n v="1039"/>
    <x v="38"/>
    <n v="15"/>
    <s v="Male"/>
    <n v="57"/>
    <n v="35"/>
    <n v="56"/>
    <n v="67"/>
    <n v="30"/>
    <n v="96"/>
    <n v="100"/>
    <n v="56.833333333333336"/>
    <n v="43.166666666666664"/>
    <n v="1"/>
    <n v="1"/>
    <n v="25"/>
    <n v="2.9490783485226899"/>
    <n v="22.05092165147731"/>
    <n v="100"/>
    <n v="3"/>
    <n v="97"/>
    <n v="1"/>
    <n v="1"/>
    <n v="1"/>
    <n v="1"/>
    <n v="0"/>
    <n v="0"/>
    <n v="3.01890585842796"/>
    <x v="1"/>
  </r>
  <r>
    <m/>
    <x v="39"/>
    <m/>
    <m/>
    <m/>
    <m/>
    <m/>
    <m/>
    <m/>
    <m/>
    <m/>
    <m/>
    <m/>
    <m/>
    <m/>
    <m/>
    <m/>
    <m/>
    <m/>
    <m/>
    <m/>
    <m/>
    <m/>
    <m/>
    <m/>
    <m/>
    <m/>
    <m/>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24DE6A-AB65-4BC8-9E88-71CCF90CA8DA}"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C6" firstHeaderRow="0" firstDataRow="1" firstDataCol="1"/>
  <pivotFields count="29">
    <pivotField showAll="0"/>
    <pivotField axis="axisRow" showAll="0">
      <items count="41">
        <item h="1" x="21"/>
        <item h="1" x="16"/>
        <item h="1" x="23"/>
        <item h="1" x="29"/>
        <item h="1" x="18"/>
        <item h="1" x="34"/>
        <item h="1" x="7"/>
        <item h="1" x="35"/>
        <item h="1" x="31"/>
        <item h="1" x="33"/>
        <item h="1" x="25"/>
        <item h="1" x="6"/>
        <item x="8"/>
        <item h="1" x="15"/>
        <item h="1" x="13"/>
        <item h="1" x="30"/>
        <item h="1" x="14"/>
        <item h="1" x="0"/>
        <item h="1" x="11"/>
        <item h="1" x="2"/>
        <item h="1" x="28"/>
        <item h="1" x="9"/>
        <item h="1" x="3"/>
        <item h="1" x="27"/>
        <item h="1" x="12"/>
        <item h="1" x="36"/>
        <item h="1" x="24"/>
        <item h="1" x="20"/>
        <item h="1" x="32"/>
        <item h="1" x="4"/>
        <item h="1" x="19"/>
        <item h="1" x="26"/>
        <item h="1" x="17"/>
        <item h="1" x="10"/>
        <item h="1" x="38"/>
        <item h="1" x="22"/>
        <item h="1" x="1"/>
        <item h="1" x="37"/>
        <item h="1" x="5"/>
        <item h="1" x="39"/>
        <item t="default"/>
      </items>
    </pivotField>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0"/>
        <item x="1"/>
        <item x="3"/>
        <item x="2"/>
        <item x="4"/>
        <item x="5"/>
        <item t="default"/>
      </items>
    </pivotField>
  </pivotFields>
  <rowFields count="2">
    <field x="1"/>
    <field x="28"/>
  </rowFields>
  <rowItems count="3">
    <i>
      <x v="12"/>
    </i>
    <i r="1">
      <x/>
    </i>
    <i t="grand">
      <x/>
    </i>
  </rowItems>
  <colFields count="1">
    <field x="-2"/>
  </colFields>
  <colItems count="2">
    <i>
      <x/>
    </i>
    <i i="1">
      <x v="1"/>
    </i>
  </colItems>
  <dataFields count="2">
    <dataField name="Sum of Totalm Percentage" fld="10" baseField="0" baseItem="0"/>
    <dataField name="Sum of Obtained Percentage" fld="11" baseField="0" baseItem="0" numFmtId="2"/>
  </dataField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506144-6A8D-4925-9D66-C0F8A329199A}"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G5" firstHeaderRow="0" firstDataRow="1" firstDataCol="1"/>
  <pivotFields count="29">
    <pivotField showAll="0"/>
    <pivotField axis="axisRow" showAll="0">
      <items count="41">
        <item h="1" x="21"/>
        <item h="1" x="16"/>
        <item h="1" x="23"/>
        <item h="1" x="29"/>
        <item h="1" x="18"/>
        <item h="1" x="34"/>
        <item h="1" x="7"/>
        <item h="1" x="35"/>
        <item h="1" x="31"/>
        <item h="1" x="33"/>
        <item h="1" x="25"/>
        <item h="1" x="6"/>
        <item x="8"/>
        <item h="1" x="15"/>
        <item h="1" x="13"/>
        <item h="1" x="30"/>
        <item h="1" x="14"/>
        <item h="1" x="0"/>
        <item h="1" x="11"/>
        <item h="1" x="2"/>
        <item h="1" x="28"/>
        <item h="1" x="9"/>
        <item h="1" x="3"/>
        <item h="1" x="27"/>
        <item h="1" x="12"/>
        <item h="1" x="36"/>
        <item h="1" x="24"/>
        <item h="1" x="20"/>
        <item h="1" x="32"/>
        <item h="1" x="4"/>
        <item h="1" x="19"/>
        <item h="1" x="26"/>
        <item h="1" x="17"/>
        <item h="1" x="10"/>
        <item h="1" x="38"/>
        <item h="1" x="22"/>
        <item h="1" x="1"/>
        <item h="1" x="37"/>
        <item h="1" x="5"/>
        <item h="1" x="39"/>
        <item t="default"/>
      </items>
    </pivotField>
    <pivotField showAll="0"/>
    <pivotField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2">
    <i>
      <x v="12"/>
    </i>
    <i t="grand">
      <x/>
    </i>
  </rowItems>
  <colFields count="1">
    <field x="-2"/>
  </colFields>
  <colItems count="6">
    <i>
      <x/>
    </i>
    <i i="1">
      <x v="1"/>
    </i>
    <i i="2">
      <x v="2"/>
    </i>
    <i i="3">
      <x v="3"/>
    </i>
    <i i="4">
      <x v="4"/>
    </i>
    <i i="5">
      <x v="5"/>
    </i>
  </colItems>
  <dataFields count="6">
    <dataField name="Sum of Chemistry" fld="5" baseField="0" baseItem="0"/>
    <dataField name="Sum of Mathematics" fld="6" baseField="0" baseItem="0"/>
    <dataField name="Sum of Philosophy" fld="7" baseField="0" baseItem="0"/>
    <dataField name="Sum of Biology" fld="4" baseField="0" baseItem="0"/>
    <dataField name="Sum of Physics" fld="8" baseField="0" baseItem="0"/>
    <dataField name="Sum of sociology" fld="9" baseField="0" baseItem="0"/>
  </dataFields>
  <chartFormats count="1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3"/>
          </reference>
        </references>
      </pivotArea>
    </chartFormat>
    <chartFormat chart="2" format="4" series="1">
      <pivotArea type="data" outline="0" fieldPosition="0">
        <references count="1">
          <reference field="4294967294" count="1" selected="0">
            <x v="4"/>
          </reference>
        </references>
      </pivotArea>
    </chartFormat>
    <chartFormat chart="2" format="5" series="1">
      <pivotArea type="data" outline="0" fieldPosition="0">
        <references count="1">
          <reference field="4294967294" count="1" selected="0">
            <x v="5"/>
          </reference>
        </references>
      </pivotArea>
    </chartFormat>
    <chartFormat chart="4" format="12" series="1">
      <pivotArea type="data" outline="0" fieldPosition="0">
        <references count="1">
          <reference field="4294967294" count="1" selected="0">
            <x v="0"/>
          </reference>
        </references>
      </pivotArea>
    </chartFormat>
    <chartFormat chart="4" format="13" series="1">
      <pivotArea type="data" outline="0" fieldPosition="0">
        <references count="1">
          <reference field="4294967294" count="1" selected="0">
            <x v="1"/>
          </reference>
        </references>
      </pivotArea>
    </chartFormat>
    <chartFormat chart="4" format="14" series="1">
      <pivotArea type="data" outline="0" fieldPosition="0">
        <references count="1">
          <reference field="4294967294" count="1" selected="0">
            <x v="2"/>
          </reference>
        </references>
      </pivotArea>
    </chartFormat>
    <chartFormat chart="4" format="15" series="1">
      <pivotArea type="data" outline="0" fieldPosition="0">
        <references count="1">
          <reference field="4294967294" count="1" selected="0">
            <x v="3"/>
          </reference>
        </references>
      </pivotArea>
    </chartFormat>
    <chartFormat chart="4" format="16" series="1">
      <pivotArea type="data" outline="0" fieldPosition="0">
        <references count="1">
          <reference field="4294967294" count="1" selected="0">
            <x v="4"/>
          </reference>
        </references>
      </pivotArea>
    </chartFormat>
    <chartFormat chart="4" format="17"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57DF53-0ED8-4DCC-95F3-041880117649}"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5" firstHeaderRow="0" firstDataRow="1" firstDataCol="1"/>
  <pivotFields count="29">
    <pivotField showAll="0"/>
    <pivotField axis="axisRow" showAll="0">
      <items count="41">
        <item h="1" x="21"/>
        <item h="1" x="16"/>
        <item h="1" x="23"/>
        <item h="1" x="29"/>
        <item h="1" x="18"/>
        <item h="1" x="34"/>
        <item h="1" x="7"/>
        <item h="1" x="35"/>
        <item h="1" x="31"/>
        <item h="1" x="33"/>
        <item h="1" x="25"/>
        <item h="1" x="6"/>
        <item x="8"/>
        <item h="1" x="15"/>
        <item h="1" x="13"/>
        <item h="1" x="30"/>
        <item h="1" x="14"/>
        <item h="1" x="0"/>
        <item h="1" x="11"/>
        <item h="1" x="2"/>
        <item h="1" x="28"/>
        <item h="1" x="9"/>
        <item h="1" x="3"/>
        <item h="1" x="27"/>
        <item h="1" x="12"/>
        <item h="1" x="36"/>
        <item h="1" x="24"/>
        <item h="1" x="20"/>
        <item h="1" x="32"/>
        <item h="1" x="4"/>
        <item h="1" x="19"/>
        <item h="1" x="26"/>
        <item h="1" x="17"/>
        <item h="1" x="10"/>
        <item h="1" x="38"/>
        <item h="1" x="22"/>
        <item h="1" x="1"/>
        <item h="1" x="37"/>
        <item h="1" x="5"/>
        <item h="1" x="3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s>
  <rowFields count="1">
    <field x="1"/>
  </rowFields>
  <rowItems count="2">
    <i>
      <x v="12"/>
    </i>
    <i t="grand">
      <x/>
    </i>
  </rowItems>
  <colFields count="1">
    <field x="-2"/>
  </colFields>
  <colItems count="2">
    <i>
      <x/>
    </i>
    <i i="1">
      <x v="1"/>
    </i>
  </colItems>
  <dataFields count="2">
    <dataField name="Sum of Total days" fld="18" baseField="0" baseItem="0"/>
    <dataField name="Sum of Absences" fld="19" baseField="0" baseItem="0"/>
  </dataFields>
  <chartFormats count="9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84" series="1">
      <pivotArea type="data" outline="0" fieldPosition="0">
        <references count="1">
          <reference field="4294967294" count="1" selected="0">
            <x v="0"/>
          </reference>
        </references>
      </pivotArea>
    </chartFormat>
    <chartFormat chart="3" format="85">
      <pivotArea type="data" outline="0" fieldPosition="0">
        <references count="2">
          <reference field="4294967294" count="1" selected="0">
            <x v="0"/>
          </reference>
          <reference field="1" count="1" selected="0">
            <x v="0"/>
          </reference>
        </references>
      </pivotArea>
    </chartFormat>
    <chartFormat chart="3" format="86">
      <pivotArea type="data" outline="0" fieldPosition="0">
        <references count="2">
          <reference field="4294967294" count="1" selected="0">
            <x v="0"/>
          </reference>
          <reference field="1" count="1" selected="0">
            <x v="1"/>
          </reference>
        </references>
      </pivotArea>
    </chartFormat>
    <chartFormat chart="3" format="87">
      <pivotArea type="data" outline="0" fieldPosition="0">
        <references count="2">
          <reference field="4294967294" count="1" selected="0">
            <x v="0"/>
          </reference>
          <reference field="1" count="1" selected="0">
            <x v="2"/>
          </reference>
        </references>
      </pivotArea>
    </chartFormat>
    <chartFormat chart="3" format="88">
      <pivotArea type="data" outline="0" fieldPosition="0">
        <references count="2">
          <reference field="4294967294" count="1" selected="0">
            <x v="0"/>
          </reference>
          <reference field="1" count="1" selected="0">
            <x v="3"/>
          </reference>
        </references>
      </pivotArea>
    </chartFormat>
    <chartFormat chart="3" format="89">
      <pivotArea type="data" outline="0" fieldPosition="0">
        <references count="2">
          <reference field="4294967294" count="1" selected="0">
            <x v="0"/>
          </reference>
          <reference field="1" count="1" selected="0">
            <x v="4"/>
          </reference>
        </references>
      </pivotArea>
    </chartFormat>
    <chartFormat chart="3" format="90">
      <pivotArea type="data" outline="0" fieldPosition="0">
        <references count="2">
          <reference field="4294967294" count="1" selected="0">
            <x v="0"/>
          </reference>
          <reference field="1" count="1" selected="0">
            <x v="5"/>
          </reference>
        </references>
      </pivotArea>
    </chartFormat>
    <chartFormat chart="3" format="91">
      <pivotArea type="data" outline="0" fieldPosition="0">
        <references count="2">
          <reference field="4294967294" count="1" selected="0">
            <x v="0"/>
          </reference>
          <reference field="1" count="1" selected="0">
            <x v="6"/>
          </reference>
        </references>
      </pivotArea>
    </chartFormat>
    <chartFormat chart="3" format="92">
      <pivotArea type="data" outline="0" fieldPosition="0">
        <references count="2">
          <reference field="4294967294" count="1" selected="0">
            <x v="0"/>
          </reference>
          <reference field="1" count="1" selected="0">
            <x v="7"/>
          </reference>
        </references>
      </pivotArea>
    </chartFormat>
    <chartFormat chart="3" format="93">
      <pivotArea type="data" outline="0" fieldPosition="0">
        <references count="2">
          <reference field="4294967294" count="1" selected="0">
            <x v="0"/>
          </reference>
          <reference field="1" count="1" selected="0">
            <x v="8"/>
          </reference>
        </references>
      </pivotArea>
    </chartFormat>
    <chartFormat chart="3" format="94">
      <pivotArea type="data" outline="0" fieldPosition="0">
        <references count="2">
          <reference field="4294967294" count="1" selected="0">
            <x v="0"/>
          </reference>
          <reference field="1" count="1" selected="0">
            <x v="9"/>
          </reference>
        </references>
      </pivotArea>
    </chartFormat>
    <chartFormat chart="3" format="95">
      <pivotArea type="data" outline="0" fieldPosition="0">
        <references count="2">
          <reference field="4294967294" count="1" selected="0">
            <x v="0"/>
          </reference>
          <reference field="1" count="1" selected="0">
            <x v="10"/>
          </reference>
        </references>
      </pivotArea>
    </chartFormat>
    <chartFormat chart="3" format="96">
      <pivotArea type="data" outline="0" fieldPosition="0">
        <references count="2">
          <reference field="4294967294" count="1" selected="0">
            <x v="0"/>
          </reference>
          <reference field="1" count="1" selected="0">
            <x v="11"/>
          </reference>
        </references>
      </pivotArea>
    </chartFormat>
    <chartFormat chart="3" format="97">
      <pivotArea type="data" outline="0" fieldPosition="0">
        <references count="2">
          <reference field="4294967294" count="1" selected="0">
            <x v="0"/>
          </reference>
          <reference field="1" count="1" selected="0">
            <x v="12"/>
          </reference>
        </references>
      </pivotArea>
    </chartFormat>
    <chartFormat chart="3" format="98">
      <pivotArea type="data" outline="0" fieldPosition="0">
        <references count="2">
          <reference field="4294967294" count="1" selected="0">
            <x v="0"/>
          </reference>
          <reference field="1" count="1" selected="0">
            <x v="13"/>
          </reference>
        </references>
      </pivotArea>
    </chartFormat>
    <chartFormat chart="3" format="99">
      <pivotArea type="data" outline="0" fieldPosition="0">
        <references count="2">
          <reference field="4294967294" count="1" selected="0">
            <x v="0"/>
          </reference>
          <reference field="1" count="1" selected="0">
            <x v="14"/>
          </reference>
        </references>
      </pivotArea>
    </chartFormat>
    <chartFormat chart="3" format="100">
      <pivotArea type="data" outline="0" fieldPosition="0">
        <references count="2">
          <reference field="4294967294" count="1" selected="0">
            <x v="0"/>
          </reference>
          <reference field="1" count="1" selected="0">
            <x v="15"/>
          </reference>
        </references>
      </pivotArea>
    </chartFormat>
    <chartFormat chart="3" format="101">
      <pivotArea type="data" outline="0" fieldPosition="0">
        <references count="2">
          <reference field="4294967294" count="1" selected="0">
            <x v="0"/>
          </reference>
          <reference field="1" count="1" selected="0">
            <x v="16"/>
          </reference>
        </references>
      </pivotArea>
    </chartFormat>
    <chartFormat chart="3" format="102">
      <pivotArea type="data" outline="0" fieldPosition="0">
        <references count="2">
          <reference field="4294967294" count="1" selected="0">
            <x v="0"/>
          </reference>
          <reference field="1" count="1" selected="0">
            <x v="17"/>
          </reference>
        </references>
      </pivotArea>
    </chartFormat>
    <chartFormat chart="3" format="103">
      <pivotArea type="data" outline="0" fieldPosition="0">
        <references count="2">
          <reference field="4294967294" count="1" selected="0">
            <x v="0"/>
          </reference>
          <reference field="1" count="1" selected="0">
            <x v="18"/>
          </reference>
        </references>
      </pivotArea>
    </chartFormat>
    <chartFormat chart="3" format="104">
      <pivotArea type="data" outline="0" fieldPosition="0">
        <references count="2">
          <reference field="4294967294" count="1" selected="0">
            <x v="0"/>
          </reference>
          <reference field="1" count="1" selected="0">
            <x v="19"/>
          </reference>
        </references>
      </pivotArea>
    </chartFormat>
    <chartFormat chart="3" format="105">
      <pivotArea type="data" outline="0" fieldPosition="0">
        <references count="2">
          <reference field="4294967294" count="1" selected="0">
            <x v="0"/>
          </reference>
          <reference field="1" count="1" selected="0">
            <x v="20"/>
          </reference>
        </references>
      </pivotArea>
    </chartFormat>
    <chartFormat chart="3" format="106">
      <pivotArea type="data" outline="0" fieldPosition="0">
        <references count="2">
          <reference field="4294967294" count="1" selected="0">
            <x v="0"/>
          </reference>
          <reference field="1" count="1" selected="0">
            <x v="21"/>
          </reference>
        </references>
      </pivotArea>
    </chartFormat>
    <chartFormat chart="3" format="107">
      <pivotArea type="data" outline="0" fieldPosition="0">
        <references count="2">
          <reference field="4294967294" count="1" selected="0">
            <x v="0"/>
          </reference>
          <reference field="1" count="1" selected="0">
            <x v="22"/>
          </reference>
        </references>
      </pivotArea>
    </chartFormat>
    <chartFormat chart="3" format="108">
      <pivotArea type="data" outline="0" fieldPosition="0">
        <references count="2">
          <reference field="4294967294" count="1" selected="0">
            <x v="0"/>
          </reference>
          <reference field="1" count="1" selected="0">
            <x v="23"/>
          </reference>
        </references>
      </pivotArea>
    </chartFormat>
    <chartFormat chart="3" format="109">
      <pivotArea type="data" outline="0" fieldPosition="0">
        <references count="2">
          <reference field="4294967294" count="1" selected="0">
            <x v="0"/>
          </reference>
          <reference field="1" count="1" selected="0">
            <x v="24"/>
          </reference>
        </references>
      </pivotArea>
    </chartFormat>
    <chartFormat chart="3" format="110">
      <pivotArea type="data" outline="0" fieldPosition="0">
        <references count="2">
          <reference field="4294967294" count="1" selected="0">
            <x v="0"/>
          </reference>
          <reference field="1" count="1" selected="0">
            <x v="25"/>
          </reference>
        </references>
      </pivotArea>
    </chartFormat>
    <chartFormat chart="3" format="111">
      <pivotArea type="data" outline="0" fieldPosition="0">
        <references count="2">
          <reference field="4294967294" count="1" selected="0">
            <x v="0"/>
          </reference>
          <reference field="1" count="1" selected="0">
            <x v="26"/>
          </reference>
        </references>
      </pivotArea>
    </chartFormat>
    <chartFormat chart="3" format="112">
      <pivotArea type="data" outline="0" fieldPosition="0">
        <references count="2">
          <reference field="4294967294" count="1" selected="0">
            <x v="0"/>
          </reference>
          <reference field="1" count="1" selected="0">
            <x v="27"/>
          </reference>
        </references>
      </pivotArea>
    </chartFormat>
    <chartFormat chart="3" format="113">
      <pivotArea type="data" outline="0" fieldPosition="0">
        <references count="2">
          <reference field="4294967294" count="1" selected="0">
            <x v="0"/>
          </reference>
          <reference field="1" count="1" selected="0">
            <x v="28"/>
          </reference>
        </references>
      </pivotArea>
    </chartFormat>
    <chartFormat chart="3" format="114">
      <pivotArea type="data" outline="0" fieldPosition="0">
        <references count="2">
          <reference field="4294967294" count="1" selected="0">
            <x v="0"/>
          </reference>
          <reference field="1" count="1" selected="0">
            <x v="29"/>
          </reference>
        </references>
      </pivotArea>
    </chartFormat>
    <chartFormat chart="3" format="115">
      <pivotArea type="data" outline="0" fieldPosition="0">
        <references count="2">
          <reference field="4294967294" count="1" selected="0">
            <x v="0"/>
          </reference>
          <reference field="1" count="1" selected="0">
            <x v="30"/>
          </reference>
        </references>
      </pivotArea>
    </chartFormat>
    <chartFormat chart="3" format="116">
      <pivotArea type="data" outline="0" fieldPosition="0">
        <references count="2">
          <reference field="4294967294" count="1" selected="0">
            <x v="0"/>
          </reference>
          <reference field="1" count="1" selected="0">
            <x v="31"/>
          </reference>
        </references>
      </pivotArea>
    </chartFormat>
    <chartFormat chart="3" format="117">
      <pivotArea type="data" outline="0" fieldPosition="0">
        <references count="2">
          <reference field="4294967294" count="1" selected="0">
            <x v="0"/>
          </reference>
          <reference field="1" count="1" selected="0">
            <x v="32"/>
          </reference>
        </references>
      </pivotArea>
    </chartFormat>
    <chartFormat chart="3" format="118">
      <pivotArea type="data" outline="0" fieldPosition="0">
        <references count="2">
          <reference field="4294967294" count="1" selected="0">
            <x v="0"/>
          </reference>
          <reference field="1" count="1" selected="0">
            <x v="33"/>
          </reference>
        </references>
      </pivotArea>
    </chartFormat>
    <chartFormat chart="3" format="119">
      <pivotArea type="data" outline="0" fieldPosition="0">
        <references count="2">
          <reference field="4294967294" count="1" selected="0">
            <x v="0"/>
          </reference>
          <reference field="1" count="1" selected="0">
            <x v="34"/>
          </reference>
        </references>
      </pivotArea>
    </chartFormat>
    <chartFormat chart="3" format="120">
      <pivotArea type="data" outline="0" fieldPosition="0">
        <references count="2">
          <reference field="4294967294" count="1" selected="0">
            <x v="0"/>
          </reference>
          <reference field="1" count="1" selected="0">
            <x v="35"/>
          </reference>
        </references>
      </pivotArea>
    </chartFormat>
    <chartFormat chart="3" format="121">
      <pivotArea type="data" outline="0" fieldPosition="0">
        <references count="2">
          <reference field="4294967294" count="1" selected="0">
            <x v="0"/>
          </reference>
          <reference field="1" count="1" selected="0">
            <x v="36"/>
          </reference>
        </references>
      </pivotArea>
    </chartFormat>
    <chartFormat chart="3" format="122">
      <pivotArea type="data" outline="0" fieldPosition="0">
        <references count="2">
          <reference field="4294967294" count="1" selected="0">
            <x v="0"/>
          </reference>
          <reference field="1" count="1" selected="0">
            <x v="37"/>
          </reference>
        </references>
      </pivotArea>
    </chartFormat>
    <chartFormat chart="3" format="123">
      <pivotArea type="data" outline="0" fieldPosition="0">
        <references count="2">
          <reference field="4294967294" count="1" selected="0">
            <x v="0"/>
          </reference>
          <reference field="1" count="1" selected="0">
            <x v="38"/>
          </reference>
        </references>
      </pivotArea>
    </chartFormat>
    <chartFormat chart="3" format="124">
      <pivotArea type="data" outline="0" fieldPosition="0">
        <references count="2">
          <reference field="4294967294" count="1" selected="0">
            <x v="0"/>
          </reference>
          <reference field="1" count="1" selected="0">
            <x v="39"/>
          </reference>
        </references>
      </pivotArea>
    </chartFormat>
    <chartFormat chart="3" format="125" series="1">
      <pivotArea type="data" outline="0" fieldPosition="0">
        <references count="1">
          <reference field="4294967294" count="1" selected="0">
            <x v="1"/>
          </reference>
        </references>
      </pivotArea>
    </chartFormat>
    <chartFormat chart="3" format="126">
      <pivotArea type="data" outline="0" fieldPosition="0">
        <references count="2">
          <reference field="4294967294" count="1" selected="0">
            <x v="1"/>
          </reference>
          <reference field="1" count="1" selected="0">
            <x v="0"/>
          </reference>
        </references>
      </pivotArea>
    </chartFormat>
    <chartFormat chart="3" format="127">
      <pivotArea type="data" outline="0" fieldPosition="0">
        <references count="2">
          <reference field="4294967294" count="1" selected="0">
            <x v="1"/>
          </reference>
          <reference field="1" count="1" selected="0">
            <x v="1"/>
          </reference>
        </references>
      </pivotArea>
    </chartFormat>
    <chartFormat chart="3" format="128">
      <pivotArea type="data" outline="0" fieldPosition="0">
        <references count="2">
          <reference field="4294967294" count="1" selected="0">
            <x v="1"/>
          </reference>
          <reference field="1" count="1" selected="0">
            <x v="2"/>
          </reference>
        </references>
      </pivotArea>
    </chartFormat>
    <chartFormat chart="3" format="129">
      <pivotArea type="data" outline="0" fieldPosition="0">
        <references count="2">
          <reference field="4294967294" count="1" selected="0">
            <x v="1"/>
          </reference>
          <reference field="1" count="1" selected="0">
            <x v="3"/>
          </reference>
        </references>
      </pivotArea>
    </chartFormat>
    <chartFormat chart="3" format="130">
      <pivotArea type="data" outline="0" fieldPosition="0">
        <references count="2">
          <reference field="4294967294" count="1" selected="0">
            <x v="1"/>
          </reference>
          <reference field="1" count="1" selected="0">
            <x v="4"/>
          </reference>
        </references>
      </pivotArea>
    </chartFormat>
    <chartFormat chart="3" format="131">
      <pivotArea type="data" outline="0" fieldPosition="0">
        <references count="2">
          <reference field="4294967294" count="1" selected="0">
            <x v="1"/>
          </reference>
          <reference field="1" count="1" selected="0">
            <x v="5"/>
          </reference>
        </references>
      </pivotArea>
    </chartFormat>
    <chartFormat chart="3" format="132">
      <pivotArea type="data" outline="0" fieldPosition="0">
        <references count="2">
          <reference field="4294967294" count="1" selected="0">
            <x v="1"/>
          </reference>
          <reference field="1" count="1" selected="0">
            <x v="6"/>
          </reference>
        </references>
      </pivotArea>
    </chartFormat>
    <chartFormat chart="3" format="133">
      <pivotArea type="data" outline="0" fieldPosition="0">
        <references count="2">
          <reference field="4294967294" count="1" selected="0">
            <x v="1"/>
          </reference>
          <reference field="1" count="1" selected="0">
            <x v="7"/>
          </reference>
        </references>
      </pivotArea>
    </chartFormat>
    <chartFormat chart="3" format="134">
      <pivotArea type="data" outline="0" fieldPosition="0">
        <references count="2">
          <reference field="4294967294" count="1" selected="0">
            <x v="1"/>
          </reference>
          <reference field="1" count="1" selected="0">
            <x v="8"/>
          </reference>
        </references>
      </pivotArea>
    </chartFormat>
    <chartFormat chart="3" format="135">
      <pivotArea type="data" outline="0" fieldPosition="0">
        <references count="2">
          <reference field="4294967294" count="1" selected="0">
            <x v="1"/>
          </reference>
          <reference field="1" count="1" selected="0">
            <x v="9"/>
          </reference>
        </references>
      </pivotArea>
    </chartFormat>
    <chartFormat chart="3" format="136">
      <pivotArea type="data" outline="0" fieldPosition="0">
        <references count="2">
          <reference field="4294967294" count="1" selected="0">
            <x v="1"/>
          </reference>
          <reference field="1" count="1" selected="0">
            <x v="10"/>
          </reference>
        </references>
      </pivotArea>
    </chartFormat>
    <chartFormat chart="3" format="137">
      <pivotArea type="data" outline="0" fieldPosition="0">
        <references count="2">
          <reference field="4294967294" count="1" selected="0">
            <x v="1"/>
          </reference>
          <reference field="1" count="1" selected="0">
            <x v="11"/>
          </reference>
        </references>
      </pivotArea>
    </chartFormat>
    <chartFormat chart="3" format="138">
      <pivotArea type="data" outline="0" fieldPosition="0">
        <references count="2">
          <reference field="4294967294" count="1" selected="0">
            <x v="1"/>
          </reference>
          <reference field="1" count="1" selected="0">
            <x v="12"/>
          </reference>
        </references>
      </pivotArea>
    </chartFormat>
    <chartFormat chart="3" format="139">
      <pivotArea type="data" outline="0" fieldPosition="0">
        <references count="2">
          <reference field="4294967294" count="1" selected="0">
            <x v="1"/>
          </reference>
          <reference field="1" count="1" selected="0">
            <x v="13"/>
          </reference>
        </references>
      </pivotArea>
    </chartFormat>
    <chartFormat chart="3" format="140">
      <pivotArea type="data" outline="0" fieldPosition="0">
        <references count="2">
          <reference field="4294967294" count="1" selected="0">
            <x v="1"/>
          </reference>
          <reference field="1" count="1" selected="0">
            <x v="14"/>
          </reference>
        </references>
      </pivotArea>
    </chartFormat>
    <chartFormat chart="3" format="141">
      <pivotArea type="data" outline="0" fieldPosition="0">
        <references count="2">
          <reference field="4294967294" count="1" selected="0">
            <x v="1"/>
          </reference>
          <reference field="1" count="1" selected="0">
            <x v="15"/>
          </reference>
        </references>
      </pivotArea>
    </chartFormat>
    <chartFormat chart="3" format="142">
      <pivotArea type="data" outline="0" fieldPosition="0">
        <references count="2">
          <reference field="4294967294" count="1" selected="0">
            <x v="1"/>
          </reference>
          <reference field="1" count="1" selected="0">
            <x v="16"/>
          </reference>
        </references>
      </pivotArea>
    </chartFormat>
    <chartFormat chart="3" format="143">
      <pivotArea type="data" outline="0" fieldPosition="0">
        <references count="2">
          <reference field="4294967294" count="1" selected="0">
            <x v="1"/>
          </reference>
          <reference field="1" count="1" selected="0">
            <x v="17"/>
          </reference>
        </references>
      </pivotArea>
    </chartFormat>
    <chartFormat chart="3" format="144">
      <pivotArea type="data" outline="0" fieldPosition="0">
        <references count="2">
          <reference field="4294967294" count="1" selected="0">
            <x v="1"/>
          </reference>
          <reference field="1" count="1" selected="0">
            <x v="18"/>
          </reference>
        </references>
      </pivotArea>
    </chartFormat>
    <chartFormat chart="3" format="145">
      <pivotArea type="data" outline="0" fieldPosition="0">
        <references count="2">
          <reference field="4294967294" count="1" selected="0">
            <x v="1"/>
          </reference>
          <reference field="1" count="1" selected="0">
            <x v="19"/>
          </reference>
        </references>
      </pivotArea>
    </chartFormat>
    <chartFormat chart="3" format="146">
      <pivotArea type="data" outline="0" fieldPosition="0">
        <references count="2">
          <reference field="4294967294" count="1" selected="0">
            <x v="1"/>
          </reference>
          <reference field="1" count="1" selected="0">
            <x v="20"/>
          </reference>
        </references>
      </pivotArea>
    </chartFormat>
    <chartFormat chart="3" format="147">
      <pivotArea type="data" outline="0" fieldPosition="0">
        <references count="2">
          <reference field="4294967294" count="1" selected="0">
            <x v="1"/>
          </reference>
          <reference field="1" count="1" selected="0">
            <x v="21"/>
          </reference>
        </references>
      </pivotArea>
    </chartFormat>
    <chartFormat chart="3" format="148">
      <pivotArea type="data" outline="0" fieldPosition="0">
        <references count="2">
          <reference field="4294967294" count="1" selected="0">
            <x v="1"/>
          </reference>
          <reference field="1" count="1" selected="0">
            <x v="22"/>
          </reference>
        </references>
      </pivotArea>
    </chartFormat>
    <chartFormat chart="3" format="149">
      <pivotArea type="data" outline="0" fieldPosition="0">
        <references count="2">
          <reference field="4294967294" count="1" selected="0">
            <x v="1"/>
          </reference>
          <reference field="1" count="1" selected="0">
            <x v="23"/>
          </reference>
        </references>
      </pivotArea>
    </chartFormat>
    <chartFormat chart="3" format="150">
      <pivotArea type="data" outline="0" fieldPosition="0">
        <references count="2">
          <reference field="4294967294" count="1" selected="0">
            <x v="1"/>
          </reference>
          <reference field="1" count="1" selected="0">
            <x v="24"/>
          </reference>
        </references>
      </pivotArea>
    </chartFormat>
    <chartFormat chart="3" format="151">
      <pivotArea type="data" outline="0" fieldPosition="0">
        <references count="2">
          <reference field="4294967294" count="1" selected="0">
            <x v="1"/>
          </reference>
          <reference field="1" count="1" selected="0">
            <x v="25"/>
          </reference>
        </references>
      </pivotArea>
    </chartFormat>
    <chartFormat chart="3" format="152">
      <pivotArea type="data" outline="0" fieldPosition="0">
        <references count="2">
          <reference field="4294967294" count="1" selected="0">
            <x v="1"/>
          </reference>
          <reference field="1" count="1" selected="0">
            <x v="26"/>
          </reference>
        </references>
      </pivotArea>
    </chartFormat>
    <chartFormat chart="3" format="153">
      <pivotArea type="data" outline="0" fieldPosition="0">
        <references count="2">
          <reference field="4294967294" count="1" selected="0">
            <x v="1"/>
          </reference>
          <reference field="1" count="1" selected="0">
            <x v="27"/>
          </reference>
        </references>
      </pivotArea>
    </chartFormat>
    <chartFormat chart="3" format="154">
      <pivotArea type="data" outline="0" fieldPosition="0">
        <references count="2">
          <reference field="4294967294" count="1" selected="0">
            <x v="1"/>
          </reference>
          <reference field="1" count="1" selected="0">
            <x v="28"/>
          </reference>
        </references>
      </pivotArea>
    </chartFormat>
    <chartFormat chart="3" format="155">
      <pivotArea type="data" outline="0" fieldPosition="0">
        <references count="2">
          <reference field="4294967294" count="1" selected="0">
            <x v="1"/>
          </reference>
          <reference field="1" count="1" selected="0">
            <x v="29"/>
          </reference>
        </references>
      </pivotArea>
    </chartFormat>
    <chartFormat chart="3" format="156">
      <pivotArea type="data" outline="0" fieldPosition="0">
        <references count="2">
          <reference field="4294967294" count="1" selected="0">
            <x v="1"/>
          </reference>
          <reference field="1" count="1" selected="0">
            <x v="30"/>
          </reference>
        </references>
      </pivotArea>
    </chartFormat>
    <chartFormat chart="3" format="157">
      <pivotArea type="data" outline="0" fieldPosition="0">
        <references count="2">
          <reference field="4294967294" count="1" selected="0">
            <x v="1"/>
          </reference>
          <reference field="1" count="1" selected="0">
            <x v="31"/>
          </reference>
        </references>
      </pivotArea>
    </chartFormat>
    <chartFormat chart="3" format="158">
      <pivotArea type="data" outline="0" fieldPosition="0">
        <references count="2">
          <reference field="4294967294" count="1" selected="0">
            <x v="1"/>
          </reference>
          <reference field="1" count="1" selected="0">
            <x v="32"/>
          </reference>
        </references>
      </pivotArea>
    </chartFormat>
    <chartFormat chart="3" format="159">
      <pivotArea type="data" outline="0" fieldPosition="0">
        <references count="2">
          <reference field="4294967294" count="1" selected="0">
            <x v="1"/>
          </reference>
          <reference field="1" count="1" selected="0">
            <x v="33"/>
          </reference>
        </references>
      </pivotArea>
    </chartFormat>
    <chartFormat chart="3" format="160">
      <pivotArea type="data" outline="0" fieldPosition="0">
        <references count="2">
          <reference field="4294967294" count="1" selected="0">
            <x v="1"/>
          </reference>
          <reference field="1" count="1" selected="0">
            <x v="34"/>
          </reference>
        </references>
      </pivotArea>
    </chartFormat>
    <chartFormat chart="3" format="161">
      <pivotArea type="data" outline="0" fieldPosition="0">
        <references count="2">
          <reference field="4294967294" count="1" selected="0">
            <x v="1"/>
          </reference>
          <reference field="1" count="1" selected="0">
            <x v="35"/>
          </reference>
        </references>
      </pivotArea>
    </chartFormat>
    <chartFormat chart="3" format="162">
      <pivotArea type="data" outline="0" fieldPosition="0">
        <references count="2">
          <reference field="4294967294" count="1" selected="0">
            <x v="1"/>
          </reference>
          <reference field="1" count="1" selected="0">
            <x v="36"/>
          </reference>
        </references>
      </pivotArea>
    </chartFormat>
    <chartFormat chart="3" format="163">
      <pivotArea type="data" outline="0" fieldPosition="0">
        <references count="2">
          <reference field="4294967294" count="1" selected="0">
            <x v="1"/>
          </reference>
          <reference field="1" count="1" selected="0">
            <x v="37"/>
          </reference>
        </references>
      </pivotArea>
    </chartFormat>
    <chartFormat chart="3" format="164">
      <pivotArea type="data" outline="0" fieldPosition="0">
        <references count="2">
          <reference field="4294967294" count="1" selected="0">
            <x v="1"/>
          </reference>
          <reference field="1" count="1" selected="0">
            <x v="38"/>
          </reference>
        </references>
      </pivotArea>
    </chartFormat>
    <chartFormat chart="3" format="165">
      <pivotArea type="data" outline="0" fieldPosition="0">
        <references count="2">
          <reference field="4294967294" count="1" selected="0">
            <x v="1"/>
          </reference>
          <reference field="1" count="1" selected="0">
            <x v="39"/>
          </reference>
        </references>
      </pivotArea>
    </chartFormat>
    <chartFormat chart="1" format="4">
      <pivotArea type="data" outline="0" fieldPosition="0">
        <references count="2">
          <reference field="4294967294" count="1" selected="0">
            <x v="0"/>
          </reference>
          <reference field="1" count="1" selected="0">
            <x v="10"/>
          </reference>
        </references>
      </pivotArea>
    </chartFormat>
    <chartFormat chart="1" format="5">
      <pivotArea type="data" outline="0" fieldPosition="0">
        <references count="2">
          <reference field="4294967294" count="1" selected="0">
            <x v="1"/>
          </reference>
          <reference field="1" count="1" selected="0">
            <x v="10"/>
          </reference>
        </references>
      </pivotArea>
    </chartFormat>
    <chartFormat chart="1" format="6">
      <pivotArea type="data" outline="0" fieldPosition="0">
        <references count="2">
          <reference field="4294967294" count="1" selected="0">
            <x v="0"/>
          </reference>
          <reference field="1" count="1" selected="0">
            <x v="11"/>
          </reference>
        </references>
      </pivotArea>
    </chartFormat>
    <chartFormat chart="1" format="7">
      <pivotArea type="data" outline="0" fieldPosition="0">
        <references count="2">
          <reference field="4294967294" count="1" selected="0">
            <x v="1"/>
          </reference>
          <reference field="1" count="1" selected="0">
            <x v="11"/>
          </reference>
        </references>
      </pivotArea>
    </chartFormat>
    <chartFormat chart="1" format="8">
      <pivotArea type="data" outline="0" fieldPosition="0">
        <references count="2">
          <reference field="4294967294" count="1" selected="0">
            <x v="0"/>
          </reference>
          <reference field="1" count="1" selected="0">
            <x v="5"/>
          </reference>
        </references>
      </pivotArea>
    </chartFormat>
    <chartFormat chart="1" format="9">
      <pivotArea type="data" outline="0" fieldPosition="0">
        <references count="2">
          <reference field="4294967294" count="1" selected="0">
            <x v="1"/>
          </reference>
          <reference field="1" count="1" selected="0">
            <x v="5"/>
          </reference>
        </references>
      </pivotArea>
    </chartFormat>
    <chartFormat chart="1" format="10">
      <pivotArea type="data" outline="0" fieldPosition="0">
        <references count="2">
          <reference field="4294967294" count="1" selected="0">
            <x v="0"/>
          </reference>
          <reference field="1" count="1" selected="0">
            <x v="4"/>
          </reference>
        </references>
      </pivotArea>
    </chartFormat>
    <chartFormat chart="1" format="11">
      <pivotArea type="data" outline="0" fieldPosition="0">
        <references count="2">
          <reference field="4294967294" count="1" selected="0">
            <x v="1"/>
          </reference>
          <reference field="1" count="1" selected="0">
            <x v="4"/>
          </reference>
        </references>
      </pivotArea>
    </chartFormat>
    <chartFormat chart="1" format="12">
      <pivotArea type="data" outline="0" fieldPosition="0">
        <references count="2">
          <reference field="4294967294" count="1" selected="0">
            <x v="0"/>
          </reference>
          <reference field="1" count="1" selected="0">
            <x v="13"/>
          </reference>
        </references>
      </pivotArea>
    </chartFormat>
    <chartFormat chart="1" format="13">
      <pivotArea type="data" outline="0" fieldPosition="0">
        <references count="2">
          <reference field="4294967294" count="1" selected="0">
            <x v="1"/>
          </reference>
          <reference field="1" count="1" selected="0">
            <x v="1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D85B71F-A9A7-41D4-831F-97A9A3474939}"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C5" firstHeaderRow="0" firstDataRow="1" firstDataCol="1"/>
  <pivotFields count="29">
    <pivotField showAll="0"/>
    <pivotField axis="axisRow" showAll="0">
      <items count="41">
        <item h="1" x="21"/>
        <item h="1" x="16"/>
        <item h="1" x="23"/>
        <item h="1" x="29"/>
        <item h="1" x="18"/>
        <item h="1" x="34"/>
        <item h="1" x="7"/>
        <item h="1" x="35"/>
        <item h="1" x="31"/>
        <item h="1" x="33"/>
        <item h="1" x="25"/>
        <item h="1" x="6"/>
        <item x="8"/>
        <item h="1" x="15"/>
        <item h="1" x="13"/>
        <item h="1" x="30"/>
        <item h="1" x="14"/>
        <item h="1" x="0"/>
        <item h="1" x="11"/>
        <item h="1" x="2"/>
        <item h="1" x="28"/>
        <item h="1" x="9"/>
        <item h="1" x="3"/>
        <item h="1" x="27"/>
        <item h="1" x="12"/>
        <item h="1" x="36"/>
        <item h="1" x="24"/>
        <item h="1" x="20"/>
        <item h="1" x="32"/>
        <item h="1" x="4"/>
        <item h="1" x="19"/>
        <item h="1" x="26"/>
        <item h="1" x="17"/>
        <item h="1" x="10"/>
        <item h="1" x="38"/>
        <item h="1" x="22"/>
        <item h="1" x="1"/>
        <item h="1" x="37"/>
        <item h="1" x="5"/>
        <item h="1" x="3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2">
    <i>
      <x v="12"/>
    </i>
    <i t="grand">
      <x/>
    </i>
  </rowItems>
  <colFields count="1">
    <field x="-2"/>
  </colFields>
  <colItems count="2">
    <i>
      <x/>
    </i>
    <i i="1">
      <x v="1"/>
    </i>
  </colItems>
  <dataFields count="2">
    <dataField name="Sum of Total Time " fld="15" baseField="0" baseItem="0"/>
    <dataField name="Sum of StudyTimeWeekly" fld="16" baseField="0" baseItem="0" numFmtId="2"/>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ent_name1" xr10:uid="{EEE952DC-A7B9-468F-822A-5BD08D50BEDD}" sourceName="Student name">
  <pivotTables>
    <pivotTable tabId="24" name="PivotTable17"/>
    <pivotTable tabId="23" name="PivotTable16"/>
    <pivotTable tabId="25" name="PivotTable18"/>
    <pivotTable tabId="26" name="PivotTable19"/>
  </pivotTables>
  <data>
    <tabular pivotCacheId="668102338">
      <items count="40">
        <i x="21"/>
        <i x="16"/>
        <i x="23"/>
        <i x="29"/>
        <i x="18"/>
        <i x="34"/>
        <i x="7"/>
        <i x="35"/>
        <i x="31"/>
        <i x="33"/>
        <i x="25"/>
        <i x="6"/>
        <i x="8" s="1"/>
        <i x="15"/>
        <i x="13"/>
        <i x="30"/>
        <i x="14"/>
        <i x="0"/>
        <i x="11"/>
        <i x="2"/>
        <i x="28"/>
        <i x="9"/>
        <i x="3"/>
        <i x="27"/>
        <i x="12"/>
        <i x="36"/>
        <i x="24"/>
        <i x="20"/>
        <i x="32"/>
        <i x="4"/>
        <i x="19"/>
        <i x="26"/>
        <i x="17"/>
        <i x="10"/>
        <i x="38"/>
        <i x="22"/>
        <i x="1"/>
        <i x="37"/>
        <i x="5"/>
        <i x="39"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udent name" xr10:uid="{3936876B-F7C5-4FFD-BDE3-6E8D372E0537}" cache="Slicer_Student_name1" caption="Student name" startItem="17"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udent name 1" xr10:uid="{90160FF7-1D0D-443C-82B3-133A2E5C6FC1}" cache="Slicer_Student_name1" caption="Student name" startItem="8"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69A6D0-1BB3-4A97-8E9A-2EFA23F7FB43}" name="Table1" displayName="Table1" ref="A1:F206" totalsRowShown="0" headerRowDxfId="2">
  <autoFilter ref="A1:F206" xr:uid="{2369A6D0-1BB3-4A97-8E9A-2EFA23F7FB43}"/>
  <tableColumns count="6">
    <tableColumn id="1" xr3:uid="{1CEAF4BA-C5A1-4A6C-857F-F2BA128DDE7A}" name="StudentID"/>
    <tableColumn id="2" xr3:uid="{7057D6FB-E038-4F9A-AEAB-470350952960}" name="Student name"/>
    <tableColumn id="3" xr3:uid="{561BC64F-DDE4-4BFA-B673-E1477E8A5990}" name="Exam name"/>
    <tableColumn id="4" xr3:uid="{CFB044BF-7E65-4CB2-B4D6-92AF2CB7EC34}" name="Exam date"/>
    <tableColumn id="5" xr3:uid="{153AB5A0-9904-4EEC-8586-237A44C54CC8}" name="Exam points" dataDxfId="1"/>
    <tableColumn id="6" xr3:uid="{C1F82863-75AA-4F98-85CB-1EC60F96BA1A}" name="Strengths/weakness">
      <calculatedColumnFormula>IF(E2&gt;=60,1,0)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985569E-F7B0-457D-8B7D-F8EC303D27CF}" name="Table2" displayName="Table2" ref="G1:G1048576" totalsRowShown="0" headerRowDxfId="0">
  <autoFilter ref="G1:G1048576" xr:uid="{7985569E-F7B0-457D-8B7D-F8EC303D27CF}"/>
  <tableColumns count="1">
    <tableColumn id="1" xr3:uid="{644A2C3C-1657-482E-A12A-9580F83CCA73}" name="StudyTimeWeekl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1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964BC-DB21-45D0-B0D6-D3202CDB2BA8}">
  <dimension ref="A1:F39"/>
  <sheetViews>
    <sheetView workbookViewId="0">
      <selection activeCell="E1" sqref="E1:E1048576"/>
    </sheetView>
  </sheetViews>
  <sheetFormatPr defaultRowHeight="14.4" x14ac:dyDescent="0.3"/>
  <cols>
    <col min="1" max="1" width="11.6640625" bestFit="1" customWidth="1"/>
    <col min="2" max="2" width="15.44140625" bestFit="1" customWidth="1"/>
    <col min="3" max="3" width="13" bestFit="1" customWidth="1"/>
    <col min="4" max="4" width="12" bestFit="1" customWidth="1"/>
    <col min="5" max="5" width="13.44140625" bestFit="1" customWidth="1"/>
    <col min="6" max="6" width="20.44140625" bestFit="1" customWidth="1"/>
  </cols>
  <sheetData>
    <row r="1" spans="1:6" x14ac:dyDescent="0.3">
      <c r="A1" s="5" t="s">
        <v>0</v>
      </c>
      <c r="B1" s="1" t="s">
        <v>1</v>
      </c>
      <c r="C1" s="1" t="s">
        <v>2</v>
      </c>
      <c r="D1" s="1" t="s">
        <v>3</v>
      </c>
      <c r="E1" s="1" t="s">
        <v>4</v>
      </c>
      <c r="F1" s="2" t="s">
        <v>5</v>
      </c>
    </row>
    <row r="2" spans="1:6" x14ac:dyDescent="0.3">
      <c r="A2">
        <v>1001</v>
      </c>
      <c r="B2" t="s">
        <v>6</v>
      </c>
      <c r="C2" t="s">
        <v>7</v>
      </c>
      <c r="D2" t="s">
        <v>8</v>
      </c>
      <c r="E2" s="3">
        <v>31</v>
      </c>
      <c r="F2">
        <f>IF(E2&gt;=60,1,0)</f>
        <v>0</v>
      </c>
    </row>
    <row r="3" spans="1:6" x14ac:dyDescent="0.3">
      <c r="A3">
        <v>1002</v>
      </c>
      <c r="B3" t="s">
        <v>9</v>
      </c>
      <c r="C3" t="s">
        <v>7</v>
      </c>
      <c r="D3" t="s">
        <v>8</v>
      </c>
      <c r="E3" s="3">
        <v>43</v>
      </c>
      <c r="F3">
        <f t="shared" ref="F3:F39" si="0">IF(E3&gt;=60,1,0)</f>
        <v>0</v>
      </c>
    </row>
    <row r="4" spans="1:6" x14ac:dyDescent="0.3">
      <c r="A4">
        <v>1003</v>
      </c>
      <c r="B4" t="s">
        <v>10</v>
      </c>
      <c r="C4" t="s">
        <v>7</v>
      </c>
      <c r="D4" t="s">
        <v>8</v>
      </c>
      <c r="E4" s="3">
        <v>81</v>
      </c>
      <c r="F4">
        <f t="shared" si="0"/>
        <v>1</v>
      </c>
    </row>
    <row r="5" spans="1:6" x14ac:dyDescent="0.3">
      <c r="A5">
        <v>1004</v>
      </c>
      <c r="B5" t="s">
        <v>11</v>
      </c>
      <c r="C5" t="s">
        <v>7</v>
      </c>
      <c r="D5" t="s">
        <v>8</v>
      </c>
      <c r="E5" s="3">
        <v>11</v>
      </c>
      <c r="F5">
        <f t="shared" si="0"/>
        <v>0</v>
      </c>
    </row>
    <row r="6" spans="1:6" x14ac:dyDescent="0.3">
      <c r="A6">
        <v>1005</v>
      </c>
      <c r="B6" t="s">
        <v>12</v>
      </c>
      <c r="C6" t="s">
        <v>7</v>
      </c>
      <c r="D6" t="s">
        <v>8</v>
      </c>
      <c r="E6" s="3">
        <v>18</v>
      </c>
      <c r="F6">
        <f t="shared" si="0"/>
        <v>0</v>
      </c>
    </row>
    <row r="7" spans="1:6" x14ac:dyDescent="0.3">
      <c r="A7">
        <v>1006</v>
      </c>
      <c r="B7" t="s">
        <v>13</v>
      </c>
      <c r="C7" t="s">
        <v>7</v>
      </c>
      <c r="D7" t="s">
        <v>8</v>
      </c>
      <c r="E7" s="3">
        <v>55</v>
      </c>
      <c r="F7">
        <f t="shared" si="0"/>
        <v>0</v>
      </c>
    </row>
    <row r="8" spans="1:6" x14ac:dyDescent="0.3">
      <c r="A8">
        <v>1007</v>
      </c>
      <c r="B8" t="s">
        <v>14</v>
      </c>
      <c r="C8" t="s">
        <v>7</v>
      </c>
      <c r="D8" t="s">
        <v>8</v>
      </c>
      <c r="E8" s="3">
        <v>38</v>
      </c>
      <c r="F8">
        <f t="shared" si="0"/>
        <v>0</v>
      </c>
    </row>
    <row r="9" spans="1:6" x14ac:dyDescent="0.3">
      <c r="A9">
        <v>1008</v>
      </c>
      <c r="B9" t="s">
        <v>15</v>
      </c>
      <c r="C9" t="s">
        <v>7</v>
      </c>
      <c r="D9" t="s">
        <v>8</v>
      </c>
      <c r="E9" s="3">
        <v>16</v>
      </c>
      <c r="F9">
        <f t="shared" si="0"/>
        <v>0</v>
      </c>
    </row>
    <row r="10" spans="1:6" x14ac:dyDescent="0.3">
      <c r="A10">
        <v>1009</v>
      </c>
      <c r="B10" t="s">
        <v>16</v>
      </c>
      <c r="C10" t="s">
        <v>7</v>
      </c>
      <c r="D10" t="s">
        <v>8</v>
      </c>
      <c r="E10" s="3">
        <v>73</v>
      </c>
      <c r="F10">
        <f t="shared" si="0"/>
        <v>1</v>
      </c>
    </row>
    <row r="11" spans="1:6" x14ac:dyDescent="0.3">
      <c r="A11">
        <v>1010</v>
      </c>
      <c r="B11" t="s">
        <v>17</v>
      </c>
      <c r="C11" t="s">
        <v>7</v>
      </c>
      <c r="D11" t="s">
        <v>8</v>
      </c>
      <c r="E11" s="3">
        <v>16</v>
      </c>
      <c r="F11">
        <f t="shared" si="0"/>
        <v>0</v>
      </c>
    </row>
    <row r="12" spans="1:6" x14ac:dyDescent="0.3">
      <c r="A12">
        <v>1011</v>
      </c>
      <c r="B12" t="s">
        <v>18</v>
      </c>
      <c r="C12" t="s">
        <v>7</v>
      </c>
      <c r="D12" t="s">
        <v>8</v>
      </c>
      <c r="E12" s="3">
        <v>23</v>
      </c>
      <c r="F12">
        <f t="shared" si="0"/>
        <v>0</v>
      </c>
    </row>
    <row r="13" spans="1:6" x14ac:dyDescent="0.3">
      <c r="A13">
        <v>1012</v>
      </c>
      <c r="B13" t="s">
        <v>19</v>
      </c>
      <c r="C13" t="s">
        <v>7</v>
      </c>
      <c r="D13" t="s">
        <v>8</v>
      </c>
      <c r="E13" s="3">
        <v>55</v>
      </c>
      <c r="F13">
        <f t="shared" si="0"/>
        <v>0</v>
      </c>
    </row>
    <row r="14" spans="1:6" x14ac:dyDescent="0.3">
      <c r="A14">
        <v>1013</v>
      </c>
      <c r="B14" t="s">
        <v>20</v>
      </c>
      <c r="C14" t="s">
        <v>7</v>
      </c>
      <c r="D14" t="s">
        <v>8</v>
      </c>
      <c r="E14" s="3">
        <v>71</v>
      </c>
      <c r="F14">
        <f t="shared" si="0"/>
        <v>1</v>
      </c>
    </row>
    <row r="15" spans="1:6" x14ac:dyDescent="0.3">
      <c r="A15">
        <v>1014</v>
      </c>
      <c r="B15" t="s">
        <v>21</v>
      </c>
      <c r="C15" s="4" t="s">
        <v>7</v>
      </c>
      <c r="D15" t="s">
        <v>8</v>
      </c>
      <c r="E15" s="3">
        <v>12</v>
      </c>
      <c r="F15">
        <f t="shared" si="0"/>
        <v>0</v>
      </c>
    </row>
    <row r="16" spans="1:6" x14ac:dyDescent="0.3">
      <c r="A16">
        <v>1015</v>
      </c>
      <c r="B16" t="s">
        <v>22</v>
      </c>
      <c r="C16" t="s">
        <v>7</v>
      </c>
      <c r="D16" t="s">
        <v>8</v>
      </c>
      <c r="E16" s="3">
        <v>77</v>
      </c>
      <c r="F16">
        <f t="shared" si="0"/>
        <v>1</v>
      </c>
    </row>
    <row r="17" spans="1:6" x14ac:dyDescent="0.3">
      <c r="A17">
        <v>1016</v>
      </c>
      <c r="B17" t="s">
        <v>23</v>
      </c>
      <c r="C17" t="s">
        <v>7</v>
      </c>
      <c r="D17" t="s">
        <v>8</v>
      </c>
      <c r="E17" s="3">
        <v>19</v>
      </c>
      <c r="F17">
        <f t="shared" si="0"/>
        <v>0</v>
      </c>
    </row>
    <row r="18" spans="1:6" x14ac:dyDescent="0.3">
      <c r="A18">
        <v>1017</v>
      </c>
      <c r="B18" t="s">
        <v>24</v>
      </c>
      <c r="C18" t="s">
        <v>7</v>
      </c>
      <c r="D18" t="s">
        <v>8</v>
      </c>
      <c r="E18" s="3">
        <v>57</v>
      </c>
      <c r="F18">
        <f t="shared" si="0"/>
        <v>0</v>
      </c>
    </row>
    <row r="19" spans="1:6" x14ac:dyDescent="0.3">
      <c r="A19">
        <v>1018</v>
      </c>
      <c r="B19" t="s">
        <v>25</v>
      </c>
      <c r="C19" t="s">
        <v>7</v>
      </c>
      <c r="D19" t="s">
        <v>8</v>
      </c>
      <c r="E19" s="3">
        <v>78</v>
      </c>
      <c r="F19">
        <f t="shared" si="0"/>
        <v>1</v>
      </c>
    </row>
    <row r="20" spans="1:6" x14ac:dyDescent="0.3">
      <c r="A20">
        <v>1019</v>
      </c>
      <c r="B20" t="s">
        <v>26</v>
      </c>
      <c r="C20" t="s">
        <v>7</v>
      </c>
      <c r="D20" t="s">
        <v>8</v>
      </c>
      <c r="E20" s="3">
        <v>92</v>
      </c>
      <c r="F20">
        <f t="shared" si="0"/>
        <v>1</v>
      </c>
    </row>
    <row r="21" spans="1:6" x14ac:dyDescent="0.3">
      <c r="A21">
        <v>1020</v>
      </c>
      <c r="B21" t="s">
        <v>27</v>
      </c>
      <c r="C21" t="s">
        <v>7</v>
      </c>
      <c r="D21" t="s">
        <v>8</v>
      </c>
      <c r="E21" s="3">
        <v>23</v>
      </c>
      <c r="F21">
        <f t="shared" si="0"/>
        <v>0</v>
      </c>
    </row>
    <row r="22" spans="1:6" x14ac:dyDescent="0.3">
      <c r="A22">
        <v>1021</v>
      </c>
      <c r="B22" t="s">
        <v>28</v>
      </c>
      <c r="C22" t="s">
        <v>7</v>
      </c>
      <c r="D22" t="s">
        <v>8</v>
      </c>
      <c r="E22" s="3">
        <v>62</v>
      </c>
      <c r="F22">
        <f t="shared" si="0"/>
        <v>1</v>
      </c>
    </row>
    <row r="23" spans="1:6" x14ac:dyDescent="0.3">
      <c r="A23">
        <v>1022</v>
      </c>
      <c r="B23" t="s">
        <v>29</v>
      </c>
      <c r="C23" t="s">
        <v>7</v>
      </c>
      <c r="D23" t="s">
        <v>8</v>
      </c>
      <c r="E23" s="3">
        <v>1</v>
      </c>
      <c r="F23">
        <f t="shared" si="0"/>
        <v>0</v>
      </c>
    </row>
    <row r="24" spans="1:6" x14ac:dyDescent="0.3">
      <c r="A24">
        <v>1023</v>
      </c>
      <c r="B24" t="s">
        <v>30</v>
      </c>
      <c r="C24" t="s">
        <v>7</v>
      </c>
      <c r="D24" t="s">
        <v>8</v>
      </c>
      <c r="E24" s="3">
        <v>100</v>
      </c>
      <c r="F24">
        <f t="shared" si="0"/>
        <v>1</v>
      </c>
    </row>
    <row r="25" spans="1:6" x14ac:dyDescent="0.3">
      <c r="A25">
        <v>1024</v>
      </c>
      <c r="B25" t="s">
        <v>31</v>
      </c>
      <c r="C25" t="s">
        <v>7</v>
      </c>
      <c r="D25" t="s">
        <v>8</v>
      </c>
      <c r="E25" s="3">
        <v>49</v>
      </c>
      <c r="F25">
        <f t="shared" si="0"/>
        <v>0</v>
      </c>
    </row>
    <row r="26" spans="1:6" x14ac:dyDescent="0.3">
      <c r="A26">
        <v>1025</v>
      </c>
      <c r="B26" t="s">
        <v>32</v>
      </c>
      <c r="C26" t="s">
        <v>7</v>
      </c>
      <c r="D26" t="s">
        <v>8</v>
      </c>
      <c r="E26" s="3">
        <v>41</v>
      </c>
      <c r="F26">
        <f t="shared" si="0"/>
        <v>0</v>
      </c>
    </row>
    <row r="27" spans="1:6" x14ac:dyDescent="0.3">
      <c r="A27">
        <v>1026</v>
      </c>
      <c r="B27" t="s">
        <v>33</v>
      </c>
      <c r="C27" t="s">
        <v>7</v>
      </c>
      <c r="D27" t="s">
        <v>8</v>
      </c>
      <c r="E27" s="3">
        <v>47</v>
      </c>
      <c r="F27">
        <f t="shared" si="0"/>
        <v>0</v>
      </c>
    </row>
    <row r="28" spans="1:6" x14ac:dyDescent="0.3">
      <c r="A28">
        <v>1027</v>
      </c>
      <c r="B28" t="s">
        <v>34</v>
      </c>
      <c r="C28" t="s">
        <v>7</v>
      </c>
      <c r="D28" t="s">
        <v>8</v>
      </c>
      <c r="E28" s="3">
        <v>24</v>
      </c>
      <c r="F28">
        <f t="shared" si="0"/>
        <v>0</v>
      </c>
    </row>
    <row r="29" spans="1:6" x14ac:dyDescent="0.3">
      <c r="A29">
        <v>1028</v>
      </c>
      <c r="B29" t="s">
        <v>35</v>
      </c>
      <c r="C29" t="s">
        <v>7</v>
      </c>
      <c r="D29" t="s">
        <v>8</v>
      </c>
      <c r="E29" s="3">
        <v>33</v>
      </c>
      <c r="F29">
        <f t="shared" si="0"/>
        <v>0</v>
      </c>
    </row>
    <row r="30" spans="1:6" x14ac:dyDescent="0.3">
      <c r="A30">
        <v>1029</v>
      </c>
      <c r="B30" t="s">
        <v>36</v>
      </c>
      <c r="C30" t="s">
        <v>7</v>
      </c>
      <c r="D30" t="s">
        <v>8</v>
      </c>
      <c r="E30" s="3">
        <v>45</v>
      </c>
      <c r="F30">
        <f t="shared" si="0"/>
        <v>0</v>
      </c>
    </row>
    <row r="31" spans="1:6" x14ac:dyDescent="0.3">
      <c r="A31">
        <v>1030</v>
      </c>
      <c r="B31" t="s">
        <v>37</v>
      </c>
      <c r="C31" t="s">
        <v>7</v>
      </c>
      <c r="D31" t="s">
        <v>8</v>
      </c>
      <c r="E31" s="3">
        <v>41</v>
      </c>
      <c r="F31">
        <f t="shared" si="0"/>
        <v>0</v>
      </c>
    </row>
    <row r="32" spans="1:6" x14ac:dyDescent="0.3">
      <c r="A32">
        <v>1031</v>
      </c>
      <c r="B32" t="s">
        <v>38</v>
      </c>
      <c r="C32" t="s">
        <v>7</v>
      </c>
      <c r="D32" t="s">
        <v>8</v>
      </c>
      <c r="E32" s="3">
        <v>78</v>
      </c>
      <c r="F32">
        <f t="shared" si="0"/>
        <v>1</v>
      </c>
    </row>
    <row r="33" spans="1:6" x14ac:dyDescent="0.3">
      <c r="A33">
        <v>1032</v>
      </c>
      <c r="B33" t="s">
        <v>39</v>
      </c>
      <c r="C33" t="s">
        <v>7</v>
      </c>
      <c r="D33" t="s">
        <v>8</v>
      </c>
      <c r="E33" s="3">
        <v>25</v>
      </c>
      <c r="F33">
        <f t="shared" si="0"/>
        <v>0</v>
      </c>
    </row>
    <row r="34" spans="1:6" x14ac:dyDescent="0.3">
      <c r="A34">
        <v>1033</v>
      </c>
      <c r="B34" t="s">
        <v>40</v>
      </c>
      <c r="C34" t="s">
        <v>7</v>
      </c>
      <c r="D34" t="s">
        <v>8</v>
      </c>
      <c r="E34" s="3">
        <v>44</v>
      </c>
      <c r="F34">
        <f t="shared" si="0"/>
        <v>0</v>
      </c>
    </row>
    <row r="35" spans="1:6" x14ac:dyDescent="0.3">
      <c r="A35">
        <v>1034</v>
      </c>
      <c r="B35" t="s">
        <v>41</v>
      </c>
      <c r="C35" t="s">
        <v>7</v>
      </c>
      <c r="D35" t="s">
        <v>8</v>
      </c>
      <c r="E35" s="3">
        <v>86</v>
      </c>
      <c r="F35">
        <f t="shared" si="0"/>
        <v>1</v>
      </c>
    </row>
    <row r="36" spans="1:6" x14ac:dyDescent="0.3">
      <c r="A36">
        <v>1035</v>
      </c>
      <c r="B36" t="s">
        <v>42</v>
      </c>
      <c r="C36" t="s">
        <v>7</v>
      </c>
      <c r="D36" t="s">
        <v>8</v>
      </c>
      <c r="E36" s="3">
        <v>97</v>
      </c>
      <c r="F36">
        <f t="shared" si="0"/>
        <v>1</v>
      </c>
    </row>
    <row r="37" spans="1:6" x14ac:dyDescent="0.3">
      <c r="A37">
        <v>1036</v>
      </c>
      <c r="B37" t="s">
        <v>43</v>
      </c>
      <c r="C37" t="s">
        <v>7</v>
      </c>
      <c r="D37" t="s">
        <v>8</v>
      </c>
      <c r="E37" s="3">
        <v>35</v>
      </c>
      <c r="F37">
        <f t="shared" si="0"/>
        <v>0</v>
      </c>
    </row>
    <row r="38" spans="1:6" x14ac:dyDescent="0.3">
      <c r="A38">
        <v>1037</v>
      </c>
      <c r="B38" t="s">
        <v>44</v>
      </c>
      <c r="C38" t="s">
        <v>7</v>
      </c>
      <c r="D38" t="s">
        <v>8</v>
      </c>
      <c r="E38" s="3">
        <v>75</v>
      </c>
      <c r="F38">
        <f t="shared" si="0"/>
        <v>1</v>
      </c>
    </row>
    <row r="39" spans="1:6" x14ac:dyDescent="0.3">
      <c r="A39">
        <v>1038</v>
      </c>
      <c r="B39" t="s">
        <v>45</v>
      </c>
      <c r="C39" t="s">
        <v>7</v>
      </c>
      <c r="D39" t="s">
        <v>8</v>
      </c>
      <c r="E39" s="3">
        <v>48</v>
      </c>
      <c r="F39">
        <f t="shared" si="0"/>
        <v>0</v>
      </c>
    </row>
  </sheetData>
  <autoFilter ref="A1:F1" xr:uid="{C78964BC-DB21-45D0-B0D6-D3202CDB2BA8}"/>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A5C5E-7E4E-4202-843B-3372A88CC9B4}">
  <dimension ref="A1:F28"/>
  <sheetViews>
    <sheetView workbookViewId="0">
      <selection activeCell="E1" sqref="E1:E1048576"/>
    </sheetView>
  </sheetViews>
  <sheetFormatPr defaultRowHeight="14.4" x14ac:dyDescent="0.3"/>
  <cols>
    <col min="1" max="1" width="11.6640625" bestFit="1" customWidth="1"/>
    <col min="2" max="2" width="15.44140625" bestFit="1" customWidth="1"/>
    <col min="3" max="3" width="13" bestFit="1" customWidth="1"/>
    <col min="4" max="4" width="12" bestFit="1" customWidth="1"/>
    <col min="5" max="5" width="13.44140625" bestFit="1" customWidth="1"/>
    <col min="6" max="6" width="20.44140625" bestFit="1" customWidth="1"/>
  </cols>
  <sheetData>
    <row r="1" spans="1:6" x14ac:dyDescent="0.3">
      <c r="A1" s="5" t="s">
        <v>0</v>
      </c>
      <c r="B1" s="1" t="s">
        <v>1</v>
      </c>
      <c r="C1" s="1" t="s">
        <v>2</v>
      </c>
      <c r="D1" s="1" t="s">
        <v>3</v>
      </c>
      <c r="E1" s="1" t="s">
        <v>4</v>
      </c>
      <c r="F1" s="2" t="s">
        <v>5</v>
      </c>
    </row>
    <row r="2" spans="1:6" x14ac:dyDescent="0.3">
      <c r="A2">
        <v>1001</v>
      </c>
      <c r="B2" t="s">
        <v>6</v>
      </c>
      <c r="C2" t="s">
        <v>46</v>
      </c>
      <c r="D2" t="s">
        <v>47</v>
      </c>
      <c r="E2" s="3">
        <v>52</v>
      </c>
      <c r="F2">
        <f>IF(E2&gt;=60,1,0)</f>
        <v>0</v>
      </c>
    </row>
    <row r="3" spans="1:6" x14ac:dyDescent="0.3">
      <c r="A3">
        <v>1002</v>
      </c>
      <c r="B3" t="s">
        <v>9</v>
      </c>
      <c r="C3" t="s">
        <v>46</v>
      </c>
      <c r="D3" t="s">
        <v>47</v>
      </c>
      <c r="E3" s="3">
        <v>20</v>
      </c>
      <c r="F3">
        <f t="shared" ref="F3:F28" si="0">IF(E3&gt;=60,1,0)</f>
        <v>0</v>
      </c>
    </row>
    <row r="4" spans="1:6" x14ac:dyDescent="0.3">
      <c r="A4">
        <v>1003</v>
      </c>
      <c r="B4" t="s">
        <v>10</v>
      </c>
      <c r="C4" t="s">
        <v>46</v>
      </c>
      <c r="D4" t="s">
        <v>47</v>
      </c>
      <c r="E4" s="3">
        <v>32</v>
      </c>
      <c r="F4">
        <f t="shared" si="0"/>
        <v>0</v>
      </c>
    </row>
    <row r="5" spans="1:6" x14ac:dyDescent="0.3">
      <c r="A5">
        <v>1004</v>
      </c>
      <c r="B5" t="s">
        <v>11</v>
      </c>
      <c r="C5" t="s">
        <v>46</v>
      </c>
      <c r="D5" t="s">
        <v>47</v>
      </c>
      <c r="E5" s="3">
        <v>19</v>
      </c>
      <c r="F5">
        <f t="shared" si="0"/>
        <v>0</v>
      </c>
    </row>
    <row r="6" spans="1:6" x14ac:dyDescent="0.3">
      <c r="A6">
        <v>1005</v>
      </c>
      <c r="B6" t="s">
        <v>12</v>
      </c>
      <c r="C6" t="s">
        <v>46</v>
      </c>
      <c r="D6" t="s">
        <v>47</v>
      </c>
      <c r="E6" s="3">
        <v>61</v>
      </c>
      <c r="F6">
        <f t="shared" si="0"/>
        <v>1</v>
      </c>
    </row>
    <row r="7" spans="1:6" x14ac:dyDescent="0.3">
      <c r="A7">
        <v>1006</v>
      </c>
      <c r="B7" t="s">
        <v>13</v>
      </c>
      <c r="C7" t="s">
        <v>46</v>
      </c>
      <c r="D7" t="s">
        <v>47</v>
      </c>
      <c r="E7" s="3">
        <v>34</v>
      </c>
      <c r="F7">
        <f t="shared" si="0"/>
        <v>0</v>
      </c>
    </row>
    <row r="8" spans="1:6" x14ac:dyDescent="0.3">
      <c r="A8">
        <v>1007</v>
      </c>
      <c r="B8" t="s">
        <v>14</v>
      </c>
      <c r="C8" t="s">
        <v>46</v>
      </c>
      <c r="D8" t="s">
        <v>47</v>
      </c>
      <c r="E8" s="3">
        <v>9</v>
      </c>
      <c r="F8">
        <f t="shared" si="0"/>
        <v>0</v>
      </c>
    </row>
    <row r="9" spans="1:6" x14ac:dyDescent="0.3">
      <c r="A9">
        <v>1008</v>
      </c>
      <c r="B9" t="s">
        <v>15</v>
      </c>
      <c r="C9" t="s">
        <v>46</v>
      </c>
      <c r="D9" t="s">
        <v>47</v>
      </c>
      <c r="E9" s="3">
        <v>22</v>
      </c>
      <c r="F9">
        <f t="shared" si="0"/>
        <v>0</v>
      </c>
    </row>
    <row r="10" spans="1:6" x14ac:dyDescent="0.3">
      <c r="A10">
        <v>1009</v>
      </c>
      <c r="B10" t="s">
        <v>16</v>
      </c>
      <c r="C10" t="s">
        <v>46</v>
      </c>
      <c r="D10" t="s">
        <v>47</v>
      </c>
      <c r="E10" s="3">
        <v>46</v>
      </c>
      <c r="F10">
        <f t="shared" si="0"/>
        <v>0</v>
      </c>
    </row>
    <row r="11" spans="1:6" x14ac:dyDescent="0.3">
      <c r="A11">
        <v>1010</v>
      </c>
      <c r="B11" t="s">
        <v>17</v>
      </c>
      <c r="C11" t="s">
        <v>46</v>
      </c>
      <c r="D11" t="s">
        <v>47</v>
      </c>
      <c r="E11" s="3">
        <v>100</v>
      </c>
      <c r="F11">
        <f t="shared" si="0"/>
        <v>1</v>
      </c>
    </row>
    <row r="12" spans="1:6" x14ac:dyDescent="0.3">
      <c r="A12">
        <v>1011</v>
      </c>
      <c r="B12" t="s">
        <v>18</v>
      </c>
      <c r="C12" t="s">
        <v>46</v>
      </c>
      <c r="D12" t="s">
        <v>47</v>
      </c>
      <c r="E12" s="3">
        <v>92</v>
      </c>
      <c r="F12">
        <f t="shared" si="0"/>
        <v>1</v>
      </c>
    </row>
    <row r="13" spans="1:6" x14ac:dyDescent="0.3">
      <c r="A13">
        <v>1012</v>
      </c>
      <c r="B13" t="s">
        <v>19</v>
      </c>
      <c r="C13" t="s">
        <v>46</v>
      </c>
      <c r="D13" t="s">
        <v>47</v>
      </c>
      <c r="E13" s="3">
        <v>1</v>
      </c>
      <c r="F13">
        <f t="shared" si="0"/>
        <v>0</v>
      </c>
    </row>
    <row r="14" spans="1:6" x14ac:dyDescent="0.3">
      <c r="A14">
        <v>1013</v>
      </c>
      <c r="B14" t="s">
        <v>20</v>
      </c>
      <c r="C14" t="s">
        <v>46</v>
      </c>
      <c r="D14" t="s">
        <v>47</v>
      </c>
      <c r="E14" s="3">
        <v>84</v>
      </c>
      <c r="F14">
        <f t="shared" si="0"/>
        <v>1</v>
      </c>
    </row>
    <row r="15" spans="1:6" x14ac:dyDescent="0.3">
      <c r="A15">
        <v>1014</v>
      </c>
      <c r="B15" t="s">
        <v>21</v>
      </c>
      <c r="C15" t="s">
        <v>46</v>
      </c>
      <c r="D15" t="s">
        <v>47</v>
      </c>
      <c r="E15" s="3">
        <v>63</v>
      </c>
      <c r="F15">
        <f t="shared" si="0"/>
        <v>1</v>
      </c>
    </row>
    <row r="16" spans="1:6" x14ac:dyDescent="0.3">
      <c r="A16">
        <v>1015</v>
      </c>
      <c r="B16" t="s">
        <v>22</v>
      </c>
      <c r="C16" t="s">
        <v>46</v>
      </c>
      <c r="D16" t="s">
        <v>47</v>
      </c>
      <c r="E16" s="3">
        <v>59</v>
      </c>
      <c r="F16">
        <f t="shared" si="0"/>
        <v>0</v>
      </c>
    </row>
    <row r="17" spans="1:6" x14ac:dyDescent="0.3">
      <c r="A17">
        <v>1016</v>
      </c>
      <c r="B17" t="s">
        <v>23</v>
      </c>
      <c r="C17" t="s">
        <v>46</v>
      </c>
      <c r="D17" t="s">
        <v>47</v>
      </c>
      <c r="E17" s="3">
        <v>61</v>
      </c>
      <c r="F17">
        <f t="shared" si="0"/>
        <v>1</v>
      </c>
    </row>
    <row r="18" spans="1:6" x14ac:dyDescent="0.3">
      <c r="A18">
        <v>1017</v>
      </c>
      <c r="B18" t="s">
        <v>24</v>
      </c>
      <c r="C18" t="s">
        <v>46</v>
      </c>
      <c r="D18" t="s">
        <v>47</v>
      </c>
      <c r="E18" s="3">
        <v>47</v>
      </c>
      <c r="F18">
        <f t="shared" si="0"/>
        <v>0</v>
      </c>
    </row>
    <row r="19" spans="1:6" x14ac:dyDescent="0.3">
      <c r="A19">
        <v>1018</v>
      </c>
      <c r="B19" t="s">
        <v>25</v>
      </c>
      <c r="C19" t="s">
        <v>46</v>
      </c>
      <c r="D19" t="s">
        <v>47</v>
      </c>
      <c r="E19" s="3">
        <v>27</v>
      </c>
      <c r="F19">
        <f t="shared" si="0"/>
        <v>0</v>
      </c>
    </row>
    <row r="20" spans="1:6" x14ac:dyDescent="0.3">
      <c r="A20">
        <v>1019</v>
      </c>
      <c r="B20" t="s">
        <v>26</v>
      </c>
      <c r="C20" t="s">
        <v>46</v>
      </c>
      <c r="D20" t="s">
        <v>47</v>
      </c>
      <c r="E20" s="3">
        <v>99</v>
      </c>
      <c r="F20">
        <f t="shared" si="0"/>
        <v>1</v>
      </c>
    </row>
    <row r="21" spans="1:6" x14ac:dyDescent="0.3">
      <c r="A21">
        <v>1020</v>
      </c>
      <c r="B21" t="s">
        <v>27</v>
      </c>
      <c r="C21" t="s">
        <v>46</v>
      </c>
      <c r="D21" t="s">
        <v>47</v>
      </c>
      <c r="E21" s="3">
        <v>84</v>
      </c>
      <c r="F21">
        <f t="shared" si="0"/>
        <v>1</v>
      </c>
    </row>
    <row r="22" spans="1:6" x14ac:dyDescent="0.3">
      <c r="A22">
        <v>1021</v>
      </c>
      <c r="B22" t="s">
        <v>28</v>
      </c>
      <c r="C22" t="s">
        <v>46</v>
      </c>
      <c r="D22" t="s">
        <v>47</v>
      </c>
      <c r="E22" s="3">
        <v>95</v>
      </c>
      <c r="F22">
        <f t="shared" si="0"/>
        <v>1</v>
      </c>
    </row>
    <row r="23" spans="1:6" x14ac:dyDescent="0.3">
      <c r="A23">
        <v>1022</v>
      </c>
      <c r="B23" t="s">
        <v>29</v>
      </c>
      <c r="C23" t="s">
        <v>46</v>
      </c>
      <c r="D23" t="s">
        <v>47</v>
      </c>
      <c r="E23" s="3">
        <v>50</v>
      </c>
      <c r="F23">
        <f t="shared" si="0"/>
        <v>0</v>
      </c>
    </row>
    <row r="24" spans="1:6" x14ac:dyDescent="0.3">
      <c r="A24">
        <v>1023</v>
      </c>
      <c r="B24" t="s">
        <v>30</v>
      </c>
      <c r="C24" t="s">
        <v>46</v>
      </c>
      <c r="D24" t="s">
        <v>47</v>
      </c>
      <c r="E24" s="3">
        <v>27</v>
      </c>
      <c r="F24">
        <f t="shared" si="0"/>
        <v>0</v>
      </c>
    </row>
    <row r="25" spans="1:6" x14ac:dyDescent="0.3">
      <c r="A25">
        <v>1024</v>
      </c>
      <c r="B25" t="s">
        <v>31</v>
      </c>
      <c r="C25" t="s">
        <v>46</v>
      </c>
      <c r="D25" t="s">
        <v>47</v>
      </c>
      <c r="E25" s="3">
        <v>39</v>
      </c>
      <c r="F25">
        <f t="shared" si="0"/>
        <v>0</v>
      </c>
    </row>
    <row r="26" spans="1:6" x14ac:dyDescent="0.3">
      <c r="A26">
        <v>1025</v>
      </c>
      <c r="B26" t="s">
        <v>32</v>
      </c>
      <c r="C26" t="s">
        <v>46</v>
      </c>
      <c r="D26" t="s">
        <v>47</v>
      </c>
      <c r="E26" s="3">
        <v>71</v>
      </c>
      <c r="F26">
        <f t="shared" si="0"/>
        <v>1</v>
      </c>
    </row>
    <row r="27" spans="1:6" x14ac:dyDescent="0.3">
      <c r="A27">
        <v>1026</v>
      </c>
      <c r="B27" t="s">
        <v>33</v>
      </c>
      <c r="C27" t="s">
        <v>46</v>
      </c>
      <c r="D27" t="s">
        <v>47</v>
      </c>
      <c r="E27" s="3">
        <v>83</v>
      </c>
      <c r="F27">
        <f t="shared" si="0"/>
        <v>1</v>
      </c>
    </row>
    <row r="28" spans="1:6" x14ac:dyDescent="0.3">
      <c r="A28">
        <v>1027</v>
      </c>
      <c r="B28" t="s">
        <v>34</v>
      </c>
      <c r="C28" t="s">
        <v>46</v>
      </c>
      <c r="D28" t="s">
        <v>47</v>
      </c>
      <c r="E28" s="3">
        <v>38</v>
      </c>
      <c r="F28">
        <f t="shared" si="0"/>
        <v>0</v>
      </c>
    </row>
  </sheetData>
  <autoFilter ref="A1:F1" xr:uid="{44BA5C5E-7E4E-4202-843B-3372A88CC9B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C77BF-BA4A-4BAA-BD22-9359768BF970}">
  <dimension ref="A1:G38"/>
  <sheetViews>
    <sheetView workbookViewId="0">
      <selection activeCell="E1" sqref="E1:E1048576"/>
    </sheetView>
  </sheetViews>
  <sheetFormatPr defaultRowHeight="14.4" x14ac:dyDescent="0.3"/>
  <cols>
    <col min="1" max="1" width="11.6640625" bestFit="1" customWidth="1"/>
    <col min="2" max="2" width="15.44140625" bestFit="1" customWidth="1"/>
    <col min="3" max="3" width="13" bestFit="1" customWidth="1"/>
    <col min="4" max="4" width="12" bestFit="1" customWidth="1"/>
    <col min="5" max="5" width="13.44140625" bestFit="1" customWidth="1"/>
    <col min="6" max="6" width="20.44140625" bestFit="1" customWidth="1"/>
  </cols>
  <sheetData>
    <row r="1" spans="1:7" x14ac:dyDescent="0.3">
      <c r="A1" s="5" t="s">
        <v>0</v>
      </c>
      <c r="B1" s="1" t="s">
        <v>1</v>
      </c>
      <c r="C1" s="1" t="s">
        <v>2</v>
      </c>
      <c r="D1" s="1" t="s">
        <v>3</v>
      </c>
      <c r="E1" s="1" t="s">
        <v>4</v>
      </c>
      <c r="F1" s="1" t="s">
        <v>5</v>
      </c>
      <c r="G1" s="5"/>
    </row>
    <row r="2" spans="1:7" x14ac:dyDescent="0.3">
      <c r="A2">
        <v>1001</v>
      </c>
      <c r="B2" t="s">
        <v>6</v>
      </c>
      <c r="C2" t="s">
        <v>48</v>
      </c>
      <c r="D2" t="s">
        <v>49</v>
      </c>
      <c r="E2" s="3">
        <v>48</v>
      </c>
      <c r="F2">
        <f>IF(E2&gt;=60,1,0)</f>
        <v>0</v>
      </c>
    </row>
    <row r="3" spans="1:7" x14ac:dyDescent="0.3">
      <c r="A3">
        <v>1002</v>
      </c>
      <c r="B3" t="s">
        <v>9</v>
      </c>
      <c r="C3" t="s">
        <v>48</v>
      </c>
      <c r="D3" t="s">
        <v>49</v>
      </c>
      <c r="E3" s="3">
        <v>5</v>
      </c>
      <c r="F3">
        <f t="shared" ref="F3:F38" si="0">IF(E3&gt;=60,1,0)</f>
        <v>0</v>
      </c>
    </row>
    <row r="4" spans="1:7" x14ac:dyDescent="0.3">
      <c r="A4">
        <v>1003</v>
      </c>
      <c r="B4" t="s">
        <v>10</v>
      </c>
      <c r="C4" t="s">
        <v>48</v>
      </c>
      <c r="D4" t="s">
        <v>49</v>
      </c>
      <c r="E4" s="3">
        <v>7</v>
      </c>
      <c r="F4">
        <f t="shared" si="0"/>
        <v>0</v>
      </c>
    </row>
    <row r="5" spans="1:7" x14ac:dyDescent="0.3">
      <c r="A5">
        <v>1004</v>
      </c>
      <c r="B5" t="s">
        <v>11</v>
      </c>
      <c r="C5" t="s">
        <v>48</v>
      </c>
      <c r="D5" t="s">
        <v>49</v>
      </c>
      <c r="E5" s="3">
        <v>70</v>
      </c>
      <c r="F5">
        <f t="shared" si="0"/>
        <v>1</v>
      </c>
    </row>
    <row r="6" spans="1:7" x14ac:dyDescent="0.3">
      <c r="A6">
        <v>1005</v>
      </c>
      <c r="B6" t="s">
        <v>12</v>
      </c>
      <c r="C6" t="s">
        <v>48</v>
      </c>
      <c r="D6" t="s">
        <v>49</v>
      </c>
      <c r="E6" s="3">
        <v>73</v>
      </c>
      <c r="F6">
        <f t="shared" si="0"/>
        <v>1</v>
      </c>
    </row>
    <row r="7" spans="1:7" x14ac:dyDescent="0.3">
      <c r="A7">
        <v>1006</v>
      </c>
      <c r="B7" t="s">
        <v>13</v>
      </c>
      <c r="C7" t="s">
        <v>48</v>
      </c>
      <c r="D7" t="s">
        <v>49</v>
      </c>
      <c r="E7" s="3">
        <v>59</v>
      </c>
      <c r="F7">
        <f t="shared" si="0"/>
        <v>0</v>
      </c>
    </row>
    <row r="8" spans="1:7" x14ac:dyDescent="0.3">
      <c r="A8">
        <v>1007</v>
      </c>
      <c r="B8" t="s">
        <v>14</v>
      </c>
      <c r="C8" t="s">
        <v>48</v>
      </c>
      <c r="D8" t="s">
        <v>49</v>
      </c>
      <c r="E8" s="3">
        <v>23</v>
      </c>
      <c r="F8">
        <f t="shared" si="0"/>
        <v>0</v>
      </c>
    </row>
    <row r="9" spans="1:7" x14ac:dyDescent="0.3">
      <c r="A9">
        <v>1008</v>
      </c>
      <c r="B9" t="s">
        <v>15</v>
      </c>
      <c r="C9" t="s">
        <v>48</v>
      </c>
      <c r="D9" t="s">
        <v>49</v>
      </c>
      <c r="E9" s="3">
        <v>72</v>
      </c>
      <c r="F9">
        <f t="shared" si="0"/>
        <v>1</v>
      </c>
    </row>
    <row r="10" spans="1:7" x14ac:dyDescent="0.3">
      <c r="A10">
        <v>1009</v>
      </c>
      <c r="B10" t="s">
        <v>16</v>
      </c>
      <c r="C10" t="s">
        <v>48</v>
      </c>
      <c r="D10" t="s">
        <v>49</v>
      </c>
      <c r="E10" s="3">
        <v>31</v>
      </c>
      <c r="F10">
        <f t="shared" si="0"/>
        <v>0</v>
      </c>
    </row>
    <row r="11" spans="1:7" x14ac:dyDescent="0.3">
      <c r="A11">
        <v>1010</v>
      </c>
      <c r="B11" t="s">
        <v>17</v>
      </c>
      <c r="C11" t="s">
        <v>48</v>
      </c>
      <c r="D11" t="s">
        <v>49</v>
      </c>
      <c r="E11" s="3">
        <v>74</v>
      </c>
      <c r="F11">
        <f t="shared" si="0"/>
        <v>1</v>
      </c>
    </row>
    <row r="12" spans="1:7" x14ac:dyDescent="0.3">
      <c r="A12">
        <v>1011</v>
      </c>
      <c r="B12" t="s">
        <v>18</v>
      </c>
      <c r="C12" t="s">
        <v>48</v>
      </c>
      <c r="D12" t="s">
        <v>49</v>
      </c>
      <c r="E12" s="3">
        <v>91</v>
      </c>
      <c r="F12">
        <f t="shared" si="0"/>
        <v>1</v>
      </c>
    </row>
    <row r="13" spans="1:7" x14ac:dyDescent="0.3">
      <c r="A13">
        <v>1012</v>
      </c>
      <c r="B13" t="s">
        <v>19</v>
      </c>
      <c r="C13" t="s">
        <v>48</v>
      </c>
      <c r="D13" t="s">
        <v>49</v>
      </c>
      <c r="E13" s="3">
        <v>53</v>
      </c>
      <c r="F13">
        <f t="shared" si="0"/>
        <v>0</v>
      </c>
    </row>
    <row r="14" spans="1:7" x14ac:dyDescent="0.3">
      <c r="A14">
        <v>1013</v>
      </c>
      <c r="B14" t="s">
        <v>20</v>
      </c>
      <c r="C14" t="s">
        <v>48</v>
      </c>
      <c r="D14" t="s">
        <v>49</v>
      </c>
      <c r="E14" s="3">
        <v>56</v>
      </c>
      <c r="F14">
        <f t="shared" si="0"/>
        <v>0</v>
      </c>
    </row>
    <row r="15" spans="1:7" x14ac:dyDescent="0.3">
      <c r="A15">
        <v>1014</v>
      </c>
      <c r="B15" t="s">
        <v>21</v>
      </c>
      <c r="C15" t="s">
        <v>48</v>
      </c>
      <c r="D15" t="s">
        <v>49</v>
      </c>
      <c r="E15" s="3">
        <v>53</v>
      </c>
      <c r="F15">
        <f t="shared" si="0"/>
        <v>0</v>
      </c>
    </row>
    <row r="16" spans="1:7" x14ac:dyDescent="0.3">
      <c r="A16">
        <v>1015</v>
      </c>
      <c r="B16" t="s">
        <v>22</v>
      </c>
      <c r="C16" t="s">
        <v>48</v>
      </c>
      <c r="D16" t="s">
        <v>49</v>
      </c>
      <c r="E16" s="3">
        <v>100</v>
      </c>
      <c r="F16">
        <f t="shared" si="0"/>
        <v>1</v>
      </c>
    </row>
    <row r="17" spans="1:6" x14ac:dyDescent="0.3">
      <c r="A17">
        <v>1016</v>
      </c>
      <c r="B17" t="s">
        <v>23</v>
      </c>
      <c r="C17" t="s">
        <v>48</v>
      </c>
      <c r="D17" t="s">
        <v>49</v>
      </c>
      <c r="E17" s="3">
        <v>50</v>
      </c>
      <c r="F17">
        <f t="shared" si="0"/>
        <v>0</v>
      </c>
    </row>
    <row r="18" spans="1:6" x14ac:dyDescent="0.3">
      <c r="A18">
        <v>1017</v>
      </c>
      <c r="B18" t="s">
        <v>24</v>
      </c>
      <c r="C18" t="s">
        <v>48</v>
      </c>
      <c r="D18" t="s">
        <v>49</v>
      </c>
      <c r="E18" s="3">
        <v>60</v>
      </c>
      <c r="F18">
        <f t="shared" si="0"/>
        <v>1</v>
      </c>
    </row>
    <row r="19" spans="1:6" x14ac:dyDescent="0.3">
      <c r="A19">
        <v>1018</v>
      </c>
      <c r="B19" t="s">
        <v>25</v>
      </c>
      <c r="C19" t="s">
        <v>48</v>
      </c>
      <c r="D19" t="s">
        <v>49</v>
      </c>
      <c r="E19" s="3">
        <v>38</v>
      </c>
      <c r="F19">
        <f t="shared" si="0"/>
        <v>0</v>
      </c>
    </row>
    <row r="20" spans="1:6" x14ac:dyDescent="0.3">
      <c r="A20">
        <v>1019</v>
      </c>
      <c r="B20" t="s">
        <v>26</v>
      </c>
      <c r="C20" t="s">
        <v>48</v>
      </c>
      <c r="D20" t="s">
        <v>49</v>
      </c>
      <c r="E20" s="3">
        <v>33</v>
      </c>
      <c r="F20">
        <f t="shared" si="0"/>
        <v>0</v>
      </c>
    </row>
    <row r="21" spans="1:6" x14ac:dyDescent="0.3">
      <c r="A21">
        <v>1020</v>
      </c>
      <c r="B21" t="s">
        <v>27</v>
      </c>
      <c r="C21" t="s">
        <v>48</v>
      </c>
      <c r="D21" t="s">
        <v>49</v>
      </c>
      <c r="E21" s="3">
        <v>75</v>
      </c>
      <c r="F21">
        <f t="shared" si="0"/>
        <v>1</v>
      </c>
    </row>
    <row r="22" spans="1:6" x14ac:dyDescent="0.3">
      <c r="A22">
        <v>1021</v>
      </c>
      <c r="B22" t="s">
        <v>28</v>
      </c>
      <c r="C22" t="s">
        <v>48</v>
      </c>
      <c r="D22" t="s">
        <v>49</v>
      </c>
      <c r="E22" s="3">
        <v>74</v>
      </c>
      <c r="F22">
        <f t="shared" si="0"/>
        <v>1</v>
      </c>
    </row>
    <row r="23" spans="1:6" x14ac:dyDescent="0.3">
      <c r="A23">
        <v>1022</v>
      </c>
      <c r="B23" t="s">
        <v>29</v>
      </c>
      <c r="C23" t="s">
        <v>48</v>
      </c>
      <c r="D23" t="s">
        <v>49</v>
      </c>
      <c r="E23" s="3">
        <v>7</v>
      </c>
      <c r="F23">
        <f t="shared" si="0"/>
        <v>0</v>
      </c>
    </row>
    <row r="24" spans="1:6" x14ac:dyDescent="0.3">
      <c r="A24">
        <v>1023</v>
      </c>
      <c r="B24" t="s">
        <v>30</v>
      </c>
      <c r="C24" t="s">
        <v>48</v>
      </c>
      <c r="D24" t="s">
        <v>49</v>
      </c>
      <c r="E24" s="3">
        <v>6</v>
      </c>
      <c r="F24">
        <f t="shared" si="0"/>
        <v>0</v>
      </c>
    </row>
    <row r="25" spans="1:6" x14ac:dyDescent="0.3">
      <c r="A25">
        <v>1024</v>
      </c>
      <c r="B25" t="s">
        <v>31</v>
      </c>
      <c r="C25" t="s">
        <v>48</v>
      </c>
      <c r="D25" t="s">
        <v>49</v>
      </c>
      <c r="E25" s="3">
        <v>40</v>
      </c>
      <c r="F25">
        <f t="shared" si="0"/>
        <v>0</v>
      </c>
    </row>
    <row r="26" spans="1:6" x14ac:dyDescent="0.3">
      <c r="A26">
        <v>1025</v>
      </c>
      <c r="B26" t="s">
        <v>32</v>
      </c>
      <c r="C26" t="s">
        <v>48</v>
      </c>
      <c r="D26" t="s">
        <v>49</v>
      </c>
      <c r="E26" s="3">
        <v>14</v>
      </c>
      <c r="F26">
        <f t="shared" si="0"/>
        <v>0</v>
      </c>
    </row>
    <row r="27" spans="1:6" x14ac:dyDescent="0.3">
      <c r="A27">
        <v>1026</v>
      </c>
      <c r="B27" t="s">
        <v>33</v>
      </c>
      <c r="C27" t="s">
        <v>48</v>
      </c>
      <c r="D27" t="s">
        <v>49</v>
      </c>
      <c r="E27" s="3">
        <v>16</v>
      </c>
      <c r="F27">
        <f t="shared" si="0"/>
        <v>0</v>
      </c>
    </row>
    <row r="28" spans="1:6" x14ac:dyDescent="0.3">
      <c r="A28">
        <v>1027</v>
      </c>
      <c r="B28" t="s">
        <v>34</v>
      </c>
      <c r="C28" t="s">
        <v>48</v>
      </c>
      <c r="D28" t="s">
        <v>49</v>
      </c>
      <c r="E28" s="3">
        <v>31</v>
      </c>
      <c r="F28">
        <f t="shared" si="0"/>
        <v>0</v>
      </c>
    </row>
    <row r="29" spans="1:6" x14ac:dyDescent="0.3">
      <c r="A29">
        <v>1028</v>
      </c>
      <c r="B29" t="s">
        <v>35</v>
      </c>
      <c r="C29" t="s">
        <v>48</v>
      </c>
      <c r="D29" t="s">
        <v>49</v>
      </c>
      <c r="E29" s="3">
        <v>72</v>
      </c>
      <c r="F29">
        <f t="shared" si="0"/>
        <v>1</v>
      </c>
    </row>
    <row r="30" spans="1:6" x14ac:dyDescent="0.3">
      <c r="A30">
        <v>1029</v>
      </c>
      <c r="B30" t="s">
        <v>36</v>
      </c>
      <c r="C30" t="s">
        <v>48</v>
      </c>
      <c r="D30" t="s">
        <v>49</v>
      </c>
      <c r="E30" s="3">
        <v>48</v>
      </c>
      <c r="F30">
        <f t="shared" si="0"/>
        <v>0</v>
      </c>
    </row>
    <row r="31" spans="1:6" x14ac:dyDescent="0.3">
      <c r="A31">
        <v>1030</v>
      </c>
      <c r="B31" t="s">
        <v>37</v>
      </c>
      <c r="C31" t="s">
        <v>48</v>
      </c>
      <c r="D31" t="s">
        <v>49</v>
      </c>
      <c r="E31" s="3">
        <v>53</v>
      </c>
      <c r="F31">
        <f t="shared" si="0"/>
        <v>0</v>
      </c>
    </row>
    <row r="32" spans="1:6" x14ac:dyDescent="0.3">
      <c r="A32">
        <v>1031</v>
      </c>
      <c r="B32" t="s">
        <v>38</v>
      </c>
      <c r="C32" t="s">
        <v>48</v>
      </c>
      <c r="D32" t="s">
        <v>49</v>
      </c>
      <c r="E32" s="3">
        <v>67</v>
      </c>
      <c r="F32">
        <f t="shared" si="0"/>
        <v>1</v>
      </c>
    </row>
    <row r="33" spans="1:6" x14ac:dyDescent="0.3">
      <c r="A33">
        <v>1032</v>
      </c>
      <c r="B33" t="s">
        <v>39</v>
      </c>
      <c r="C33" t="s">
        <v>48</v>
      </c>
      <c r="D33" t="s">
        <v>49</v>
      </c>
      <c r="E33" s="3">
        <v>23</v>
      </c>
      <c r="F33">
        <f t="shared" si="0"/>
        <v>0</v>
      </c>
    </row>
    <row r="34" spans="1:6" x14ac:dyDescent="0.3">
      <c r="A34">
        <v>1033</v>
      </c>
      <c r="B34" t="s">
        <v>40</v>
      </c>
      <c r="C34" t="s">
        <v>48</v>
      </c>
      <c r="D34" t="s">
        <v>49</v>
      </c>
      <c r="E34" s="3">
        <v>90</v>
      </c>
      <c r="F34">
        <f t="shared" si="0"/>
        <v>1</v>
      </c>
    </row>
    <row r="35" spans="1:6" x14ac:dyDescent="0.3">
      <c r="A35">
        <v>1034</v>
      </c>
      <c r="B35" t="s">
        <v>41</v>
      </c>
      <c r="C35" t="s">
        <v>48</v>
      </c>
      <c r="D35" t="s">
        <v>49</v>
      </c>
      <c r="E35" s="3">
        <v>87</v>
      </c>
      <c r="F35">
        <f t="shared" si="0"/>
        <v>1</v>
      </c>
    </row>
    <row r="36" spans="1:6" x14ac:dyDescent="0.3">
      <c r="A36">
        <v>1035</v>
      </c>
      <c r="B36" t="s">
        <v>42</v>
      </c>
      <c r="C36" t="s">
        <v>48</v>
      </c>
      <c r="D36" t="s">
        <v>49</v>
      </c>
      <c r="E36" s="3">
        <v>40</v>
      </c>
      <c r="F36">
        <f t="shared" si="0"/>
        <v>0</v>
      </c>
    </row>
    <row r="37" spans="1:6" x14ac:dyDescent="0.3">
      <c r="A37">
        <v>1036</v>
      </c>
      <c r="B37" t="s">
        <v>43</v>
      </c>
      <c r="C37" t="s">
        <v>48</v>
      </c>
      <c r="D37" t="s">
        <v>49</v>
      </c>
      <c r="E37" s="3">
        <v>26</v>
      </c>
      <c r="F37">
        <f t="shared" si="0"/>
        <v>0</v>
      </c>
    </row>
    <row r="38" spans="1:6" x14ac:dyDescent="0.3">
      <c r="A38">
        <v>1037</v>
      </c>
      <c r="B38" t="s">
        <v>44</v>
      </c>
      <c r="C38" t="s">
        <v>48</v>
      </c>
      <c r="D38" t="s">
        <v>49</v>
      </c>
      <c r="E38" s="3">
        <v>51</v>
      </c>
      <c r="F38">
        <f t="shared" si="0"/>
        <v>0</v>
      </c>
    </row>
  </sheetData>
  <autoFilter ref="A1:G1" xr:uid="{2A5C77BF-BA4A-4BAA-BD22-9359768BF97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BAA32-5843-4589-B601-632689CECE57}">
  <dimension ref="A1:F39"/>
  <sheetViews>
    <sheetView workbookViewId="0">
      <selection activeCell="E1" sqref="E1:E1048576"/>
    </sheetView>
  </sheetViews>
  <sheetFormatPr defaultRowHeight="14.4" x14ac:dyDescent="0.3"/>
  <cols>
    <col min="1" max="1" width="11.6640625" bestFit="1" customWidth="1"/>
    <col min="2" max="2" width="15.44140625" bestFit="1" customWidth="1"/>
    <col min="3" max="3" width="13" bestFit="1" customWidth="1"/>
    <col min="4" max="4" width="12" bestFit="1" customWidth="1"/>
    <col min="5" max="5" width="13.44140625" bestFit="1" customWidth="1"/>
    <col min="6" max="6" width="20.44140625" bestFit="1" customWidth="1"/>
  </cols>
  <sheetData>
    <row r="1" spans="1:6" x14ac:dyDescent="0.3">
      <c r="A1" s="5" t="s">
        <v>0</v>
      </c>
      <c r="B1" s="1" t="s">
        <v>1</v>
      </c>
      <c r="C1" s="1" t="s">
        <v>2</v>
      </c>
      <c r="D1" s="1" t="s">
        <v>3</v>
      </c>
      <c r="E1" s="1" t="s">
        <v>4</v>
      </c>
      <c r="F1" s="1" t="s">
        <v>5</v>
      </c>
    </row>
    <row r="2" spans="1:6" x14ac:dyDescent="0.3">
      <c r="A2">
        <v>1001</v>
      </c>
      <c r="B2" t="s">
        <v>6</v>
      </c>
      <c r="C2" t="s">
        <v>50</v>
      </c>
      <c r="D2" t="s">
        <v>51</v>
      </c>
      <c r="E2" s="3">
        <v>35</v>
      </c>
      <c r="F2">
        <f>IF(E2&gt;=60,1,0)</f>
        <v>0</v>
      </c>
    </row>
    <row r="3" spans="1:6" x14ac:dyDescent="0.3">
      <c r="A3">
        <v>1002</v>
      </c>
      <c r="B3" t="s">
        <v>9</v>
      </c>
      <c r="C3" t="s">
        <v>50</v>
      </c>
      <c r="D3" t="s">
        <v>51</v>
      </c>
      <c r="E3" s="3">
        <v>66</v>
      </c>
      <c r="F3">
        <f t="shared" ref="F3:F39" si="0">IF(E3&gt;=60,1,0)</f>
        <v>1</v>
      </c>
    </row>
    <row r="4" spans="1:6" x14ac:dyDescent="0.3">
      <c r="A4">
        <v>1003</v>
      </c>
      <c r="B4" t="s">
        <v>10</v>
      </c>
      <c r="C4" t="s">
        <v>50</v>
      </c>
      <c r="D4" t="s">
        <v>51</v>
      </c>
      <c r="E4" s="3">
        <v>29</v>
      </c>
      <c r="F4">
        <f t="shared" si="0"/>
        <v>0</v>
      </c>
    </row>
    <row r="5" spans="1:6" x14ac:dyDescent="0.3">
      <c r="A5">
        <v>1004</v>
      </c>
      <c r="B5" t="s">
        <v>11</v>
      </c>
      <c r="C5" t="s">
        <v>50</v>
      </c>
      <c r="D5" t="s">
        <v>51</v>
      </c>
      <c r="E5" s="3">
        <v>91</v>
      </c>
      <c r="F5">
        <f t="shared" si="0"/>
        <v>1</v>
      </c>
    </row>
    <row r="6" spans="1:6" x14ac:dyDescent="0.3">
      <c r="A6">
        <v>1005</v>
      </c>
      <c r="B6" t="s">
        <v>12</v>
      </c>
      <c r="C6" t="s">
        <v>50</v>
      </c>
      <c r="D6" t="s">
        <v>51</v>
      </c>
      <c r="E6" s="3">
        <v>63</v>
      </c>
      <c r="F6">
        <f t="shared" si="0"/>
        <v>1</v>
      </c>
    </row>
    <row r="7" spans="1:6" x14ac:dyDescent="0.3">
      <c r="A7">
        <v>1006</v>
      </c>
      <c r="B7" t="s">
        <v>13</v>
      </c>
      <c r="C7" t="s">
        <v>50</v>
      </c>
      <c r="D7" t="s">
        <v>51</v>
      </c>
      <c r="E7" s="3">
        <v>16</v>
      </c>
      <c r="F7">
        <f t="shared" si="0"/>
        <v>0</v>
      </c>
    </row>
    <row r="8" spans="1:6" x14ac:dyDescent="0.3">
      <c r="A8">
        <v>1007</v>
      </c>
      <c r="B8" t="s">
        <v>14</v>
      </c>
      <c r="C8" t="s">
        <v>50</v>
      </c>
      <c r="D8" t="s">
        <v>51</v>
      </c>
      <c r="E8" s="3">
        <v>10</v>
      </c>
      <c r="F8">
        <f t="shared" si="0"/>
        <v>0</v>
      </c>
    </row>
    <row r="9" spans="1:6" x14ac:dyDescent="0.3">
      <c r="A9">
        <v>1008</v>
      </c>
      <c r="B9" t="s">
        <v>15</v>
      </c>
      <c r="C9" t="s">
        <v>50</v>
      </c>
      <c r="D9" t="s">
        <v>51</v>
      </c>
      <c r="E9" s="3">
        <v>23</v>
      </c>
      <c r="F9">
        <f t="shared" si="0"/>
        <v>0</v>
      </c>
    </row>
    <row r="10" spans="1:6" x14ac:dyDescent="0.3">
      <c r="A10">
        <v>1009</v>
      </c>
      <c r="B10" t="s">
        <v>16</v>
      </c>
      <c r="C10" t="s">
        <v>50</v>
      </c>
      <c r="D10" t="s">
        <v>51</v>
      </c>
      <c r="E10" s="3">
        <v>72</v>
      </c>
      <c r="F10">
        <f t="shared" si="0"/>
        <v>1</v>
      </c>
    </row>
    <row r="11" spans="1:6" x14ac:dyDescent="0.3">
      <c r="A11">
        <v>1010</v>
      </c>
      <c r="B11" t="s">
        <v>17</v>
      </c>
      <c r="C11" t="s">
        <v>50</v>
      </c>
      <c r="D11" t="s">
        <v>51</v>
      </c>
      <c r="E11" s="3">
        <v>93</v>
      </c>
      <c r="F11">
        <f t="shared" si="0"/>
        <v>1</v>
      </c>
    </row>
    <row r="12" spans="1:6" x14ac:dyDescent="0.3">
      <c r="A12">
        <v>1011</v>
      </c>
      <c r="B12" t="s">
        <v>18</v>
      </c>
      <c r="C12" t="s">
        <v>50</v>
      </c>
      <c r="D12" t="s">
        <v>51</v>
      </c>
      <c r="E12" s="3">
        <v>10</v>
      </c>
      <c r="F12">
        <f t="shared" si="0"/>
        <v>0</v>
      </c>
    </row>
    <row r="13" spans="1:6" x14ac:dyDescent="0.3">
      <c r="A13">
        <v>1012</v>
      </c>
      <c r="B13" t="s">
        <v>19</v>
      </c>
      <c r="C13" t="s">
        <v>50</v>
      </c>
      <c r="D13" t="s">
        <v>51</v>
      </c>
      <c r="E13" s="3">
        <v>99</v>
      </c>
      <c r="F13">
        <f t="shared" si="0"/>
        <v>1</v>
      </c>
    </row>
    <row r="14" spans="1:6" x14ac:dyDescent="0.3">
      <c r="A14">
        <v>1013</v>
      </c>
      <c r="B14" t="s">
        <v>20</v>
      </c>
      <c r="C14" t="s">
        <v>50</v>
      </c>
      <c r="D14" t="s">
        <v>51</v>
      </c>
      <c r="E14" s="3">
        <v>78</v>
      </c>
      <c r="F14">
        <f t="shared" si="0"/>
        <v>1</v>
      </c>
    </row>
    <row r="15" spans="1:6" x14ac:dyDescent="0.3">
      <c r="A15">
        <v>1014</v>
      </c>
      <c r="B15" t="s">
        <v>21</v>
      </c>
      <c r="C15" t="s">
        <v>50</v>
      </c>
      <c r="D15" t="s">
        <v>51</v>
      </c>
      <c r="E15" s="3">
        <v>81</v>
      </c>
      <c r="F15">
        <f t="shared" si="0"/>
        <v>1</v>
      </c>
    </row>
    <row r="16" spans="1:6" x14ac:dyDescent="0.3">
      <c r="A16">
        <v>1015</v>
      </c>
      <c r="B16" t="s">
        <v>22</v>
      </c>
      <c r="C16" t="s">
        <v>50</v>
      </c>
      <c r="D16" t="s">
        <v>51</v>
      </c>
      <c r="E16" s="3">
        <v>40</v>
      </c>
      <c r="F16">
        <f t="shared" si="0"/>
        <v>0</v>
      </c>
    </row>
    <row r="17" spans="1:6" x14ac:dyDescent="0.3">
      <c r="A17">
        <v>1016</v>
      </c>
      <c r="B17" t="s">
        <v>23</v>
      </c>
      <c r="C17" t="s">
        <v>50</v>
      </c>
      <c r="D17" t="s">
        <v>51</v>
      </c>
      <c r="E17" s="3">
        <v>23</v>
      </c>
      <c r="F17">
        <f t="shared" si="0"/>
        <v>0</v>
      </c>
    </row>
    <row r="18" spans="1:6" x14ac:dyDescent="0.3">
      <c r="A18">
        <v>1017</v>
      </c>
      <c r="B18" t="s">
        <v>24</v>
      </c>
      <c r="C18" t="s">
        <v>50</v>
      </c>
      <c r="D18" t="s">
        <v>51</v>
      </c>
      <c r="E18" s="3">
        <v>65</v>
      </c>
      <c r="F18">
        <f t="shared" si="0"/>
        <v>1</v>
      </c>
    </row>
    <row r="19" spans="1:6" x14ac:dyDescent="0.3">
      <c r="A19">
        <v>1018</v>
      </c>
      <c r="B19" t="s">
        <v>25</v>
      </c>
      <c r="C19" t="s">
        <v>50</v>
      </c>
      <c r="D19" t="s">
        <v>51</v>
      </c>
      <c r="E19" s="3">
        <v>24</v>
      </c>
      <c r="F19">
        <f t="shared" si="0"/>
        <v>0</v>
      </c>
    </row>
    <row r="20" spans="1:6" x14ac:dyDescent="0.3">
      <c r="A20">
        <v>1019</v>
      </c>
      <c r="B20" t="s">
        <v>26</v>
      </c>
      <c r="C20" t="s">
        <v>50</v>
      </c>
      <c r="D20" t="s">
        <v>51</v>
      </c>
      <c r="E20" s="3">
        <v>62</v>
      </c>
      <c r="F20">
        <f t="shared" si="0"/>
        <v>1</v>
      </c>
    </row>
    <row r="21" spans="1:6" x14ac:dyDescent="0.3">
      <c r="A21">
        <v>1020</v>
      </c>
      <c r="B21" t="s">
        <v>27</v>
      </c>
      <c r="C21" t="s">
        <v>50</v>
      </c>
      <c r="D21" t="s">
        <v>51</v>
      </c>
      <c r="E21" s="3">
        <v>41</v>
      </c>
      <c r="F21">
        <f t="shared" si="0"/>
        <v>0</v>
      </c>
    </row>
    <row r="22" spans="1:6" x14ac:dyDescent="0.3">
      <c r="A22">
        <v>1021</v>
      </c>
      <c r="B22" t="s">
        <v>28</v>
      </c>
      <c r="C22" t="s">
        <v>50</v>
      </c>
      <c r="D22" t="s">
        <v>51</v>
      </c>
      <c r="E22" s="3">
        <v>42</v>
      </c>
      <c r="F22">
        <f t="shared" si="0"/>
        <v>0</v>
      </c>
    </row>
    <row r="23" spans="1:6" x14ac:dyDescent="0.3">
      <c r="A23">
        <v>1022</v>
      </c>
      <c r="B23" t="s">
        <v>29</v>
      </c>
      <c r="C23" t="s">
        <v>50</v>
      </c>
      <c r="D23" t="s">
        <v>51</v>
      </c>
      <c r="E23" s="3">
        <v>8</v>
      </c>
      <c r="F23">
        <f t="shared" si="0"/>
        <v>0</v>
      </c>
    </row>
    <row r="24" spans="1:6" x14ac:dyDescent="0.3">
      <c r="A24">
        <v>1023</v>
      </c>
      <c r="B24" t="s">
        <v>30</v>
      </c>
      <c r="C24" t="s">
        <v>50</v>
      </c>
      <c r="D24" t="s">
        <v>51</v>
      </c>
      <c r="E24" s="3">
        <v>91</v>
      </c>
      <c r="F24">
        <f t="shared" si="0"/>
        <v>1</v>
      </c>
    </row>
    <row r="25" spans="1:6" x14ac:dyDescent="0.3">
      <c r="A25">
        <v>1024</v>
      </c>
      <c r="B25" t="s">
        <v>31</v>
      </c>
      <c r="C25" t="s">
        <v>50</v>
      </c>
      <c r="D25" t="s">
        <v>51</v>
      </c>
      <c r="E25" s="3">
        <v>69</v>
      </c>
      <c r="F25">
        <f t="shared" si="0"/>
        <v>1</v>
      </c>
    </row>
    <row r="26" spans="1:6" x14ac:dyDescent="0.3">
      <c r="A26">
        <v>1025</v>
      </c>
      <c r="B26" t="s">
        <v>32</v>
      </c>
      <c r="C26" t="s">
        <v>50</v>
      </c>
      <c r="D26" t="s">
        <v>51</v>
      </c>
      <c r="E26" s="3">
        <v>47</v>
      </c>
      <c r="F26">
        <f t="shared" si="0"/>
        <v>0</v>
      </c>
    </row>
    <row r="27" spans="1:6" x14ac:dyDescent="0.3">
      <c r="A27">
        <v>1026</v>
      </c>
      <c r="B27" t="s">
        <v>33</v>
      </c>
      <c r="C27" t="s">
        <v>50</v>
      </c>
      <c r="D27" t="s">
        <v>51</v>
      </c>
      <c r="E27" s="3">
        <v>0</v>
      </c>
      <c r="F27">
        <f t="shared" si="0"/>
        <v>0</v>
      </c>
    </row>
    <row r="28" spans="1:6" x14ac:dyDescent="0.3">
      <c r="A28">
        <v>1027</v>
      </c>
      <c r="B28" t="s">
        <v>34</v>
      </c>
      <c r="C28" t="s">
        <v>50</v>
      </c>
      <c r="D28" t="s">
        <v>51</v>
      </c>
      <c r="E28" s="3">
        <v>42</v>
      </c>
      <c r="F28">
        <f t="shared" si="0"/>
        <v>0</v>
      </c>
    </row>
    <row r="29" spans="1:6" x14ac:dyDescent="0.3">
      <c r="A29">
        <v>1028</v>
      </c>
      <c r="B29" t="s">
        <v>35</v>
      </c>
      <c r="C29" t="s">
        <v>50</v>
      </c>
      <c r="D29" t="s">
        <v>51</v>
      </c>
      <c r="E29" s="3">
        <v>65</v>
      </c>
      <c r="F29">
        <f t="shared" si="0"/>
        <v>1</v>
      </c>
    </row>
    <row r="30" spans="1:6" x14ac:dyDescent="0.3">
      <c r="A30">
        <v>1029</v>
      </c>
      <c r="B30" t="s">
        <v>36</v>
      </c>
      <c r="C30" t="s">
        <v>50</v>
      </c>
      <c r="D30" t="s">
        <v>51</v>
      </c>
      <c r="E30" s="3">
        <v>42</v>
      </c>
      <c r="F30">
        <f t="shared" si="0"/>
        <v>0</v>
      </c>
    </row>
    <row r="31" spans="1:6" x14ac:dyDescent="0.3">
      <c r="A31">
        <v>1030</v>
      </c>
      <c r="B31" t="s">
        <v>37</v>
      </c>
      <c r="C31" t="s">
        <v>50</v>
      </c>
      <c r="D31" t="s">
        <v>51</v>
      </c>
      <c r="E31" s="3">
        <v>32</v>
      </c>
      <c r="F31">
        <f t="shared" si="0"/>
        <v>0</v>
      </c>
    </row>
    <row r="32" spans="1:6" x14ac:dyDescent="0.3">
      <c r="A32">
        <v>1031</v>
      </c>
      <c r="B32" t="s">
        <v>38</v>
      </c>
      <c r="C32" t="s">
        <v>50</v>
      </c>
      <c r="D32" t="s">
        <v>51</v>
      </c>
      <c r="E32" s="3">
        <v>33</v>
      </c>
      <c r="F32">
        <f t="shared" si="0"/>
        <v>0</v>
      </c>
    </row>
    <row r="33" spans="1:6" x14ac:dyDescent="0.3">
      <c r="A33">
        <v>1032</v>
      </c>
      <c r="B33" t="s">
        <v>39</v>
      </c>
      <c r="C33" t="s">
        <v>50</v>
      </c>
      <c r="D33" t="s">
        <v>51</v>
      </c>
      <c r="E33" s="3">
        <v>4</v>
      </c>
      <c r="F33">
        <f t="shared" si="0"/>
        <v>0</v>
      </c>
    </row>
    <row r="34" spans="1:6" x14ac:dyDescent="0.3">
      <c r="A34">
        <v>1033</v>
      </c>
      <c r="B34" t="s">
        <v>40</v>
      </c>
      <c r="C34" t="s">
        <v>50</v>
      </c>
      <c r="D34" t="s">
        <v>51</v>
      </c>
      <c r="E34" s="3">
        <v>27</v>
      </c>
      <c r="F34">
        <f t="shared" si="0"/>
        <v>0</v>
      </c>
    </row>
    <row r="35" spans="1:6" x14ac:dyDescent="0.3">
      <c r="A35">
        <v>1034</v>
      </c>
      <c r="B35" t="s">
        <v>41</v>
      </c>
      <c r="C35" t="s">
        <v>50</v>
      </c>
      <c r="D35" t="s">
        <v>51</v>
      </c>
      <c r="E35" s="3">
        <v>56</v>
      </c>
      <c r="F35">
        <f t="shared" si="0"/>
        <v>0</v>
      </c>
    </row>
    <row r="36" spans="1:6" x14ac:dyDescent="0.3">
      <c r="A36">
        <v>1035</v>
      </c>
      <c r="B36" t="s">
        <v>42</v>
      </c>
      <c r="C36" t="s">
        <v>50</v>
      </c>
      <c r="D36" t="s">
        <v>51</v>
      </c>
      <c r="E36" s="3">
        <v>36</v>
      </c>
      <c r="F36">
        <f t="shared" si="0"/>
        <v>0</v>
      </c>
    </row>
    <row r="37" spans="1:6" x14ac:dyDescent="0.3">
      <c r="A37">
        <v>1036</v>
      </c>
      <c r="B37" t="s">
        <v>43</v>
      </c>
      <c r="C37" t="s">
        <v>50</v>
      </c>
      <c r="D37" t="s">
        <v>51</v>
      </c>
      <c r="E37" s="3">
        <v>51</v>
      </c>
      <c r="F37">
        <f t="shared" si="0"/>
        <v>0</v>
      </c>
    </row>
    <row r="38" spans="1:6" x14ac:dyDescent="0.3">
      <c r="A38">
        <v>1037</v>
      </c>
      <c r="B38" t="s">
        <v>44</v>
      </c>
      <c r="C38" t="s">
        <v>50</v>
      </c>
      <c r="D38" t="s">
        <v>51</v>
      </c>
      <c r="E38" s="3">
        <v>71</v>
      </c>
      <c r="F38">
        <f t="shared" si="0"/>
        <v>1</v>
      </c>
    </row>
    <row r="39" spans="1:6" x14ac:dyDescent="0.3">
      <c r="A39">
        <v>1038</v>
      </c>
      <c r="B39" t="s">
        <v>45</v>
      </c>
      <c r="C39" t="s">
        <v>50</v>
      </c>
      <c r="D39" t="s">
        <v>51</v>
      </c>
      <c r="E39" s="3">
        <v>52</v>
      </c>
      <c r="F39">
        <f t="shared" si="0"/>
        <v>0</v>
      </c>
    </row>
  </sheetData>
  <autoFilter ref="A1:F1" xr:uid="{B52BAA32-5843-4589-B601-632689CECE57}"/>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73227-D765-4D83-A9A0-B4FAF960D4E0}">
  <dimension ref="A1:G22"/>
  <sheetViews>
    <sheetView workbookViewId="0">
      <selection activeCell="E1" sqref="E1:E1048576"/>
    </sheetView>
  </sheetViews>
  <sheetFormatPr defaultRowHeight="14.4" x14ac:dyDescent="0.3"/>
  <cols>
    <col min="1" max="1" width="11.6640625" bestFit="1" customWidth="1"/>
    <col min="2" max="2" width="15.44140625" bestFit="1" customWidth="1"/>
    <col min="3" max="3" width="13" bestFit="1" customWidth="1"/>
    <col min="4" max="4" width="12" bestFit="1" customWidth="1"/>
    <col min="5" max="5" width="13.44140625" bestFit="1" customWidth="1"/>
    <col min="6" max="6" width="20.44140625" bestFit="1" customWidth="1"/>
  </cols>
  <sheetData>
    <row r="1" spans="1:7" x14ac:dyDescent="0.3">
      <c r="A1" s="5" t="s">
        <v>0</v>
      </c>
      <c r="B1" s="1" t="s">
        <v>1</v>
      </c>
      <c r="C1" s="1" t="s">
        <v>2</v>
      </c>
      <c r="D1" s="1" t="s">
        <v>3</v>
      </c>
      <c r="E1" s="1" t="s">
        <v>4</v>
      </c>
      <c r="F1" s="1" t="s">
        <v>5</v>
      </c>
      <c r="G1" s="5"/>
    </row>
    <row r="2" spans="1:7" x14ac:dyDescent="0.3">
      <c r="A2">
        <v>1001</v>
      </c>
      <c r="B2" t="s">
        <v>6</v>
      </c>
      <c r="C2" t="s">
        <v>52</v>
      </c>
      <c r="D2" t="s">
        <v>53</v>
      </c>
      <c r="E2" s="3">
        <v>69</v>
      </c>
      <c r="F2">
        <f>IF(E2&gt;=60,1,0)</f>
        <v>1</v>
      </c>
    </row>
    <row r="3" spans="1:7" x14ac:dyDescent="0.3">
      <c r="A3">
        <v>1002</v>
      </c>
      <c r="B3" t="s">
        <v>9</v>
      </c>
      <c r="C3" t="s">
        <v>52</v>
      </c>
      <c r="D3" t="s">
        <v>53</v>
      </c>
      <c r="E3" s="3">
        <v>95</v>
      </c>
      <c r="F3">
        <f t="shared" ref="F3:F22" si="0">IF(E3&gt;=60,1,0)</f>
        <v>1</v>
      </c>
    </row>
    <row r="4" spans="1:7" x14ac:dyDescent="0.3">
      <c r="A4">
        <v>1003</v>
      </c>
      <c r="B4" t="s">
        <v>10</v>
      </c>
      <c r="C4" t="s">
        <v>52</v>
      </c>
      <c r="D4" t="s">
        <v>53</v>
      </c>
      <c r="E4" s="3">
        <v>33</v>
      </c>
      <c r="F4">
        <f t="shared" si="0"/>
        <v>0</v>
      </c>
    </row>
    <row r="5" spans="1:7" x14ac:dyDescent="0.3">
      <c r="A5">
        <v>1004</v>
      </c>
      <c r="B5" t="s">
        <v>11</v>
      </c>
      <c r="C5" t="s">
        <v>52</v>
      </c>
      <c r="D5" t="s">
        <v>53</v>
      </c>
      <c r="E5" s="3">
        <v>76</v>
      </c>
      <c r="F5">
        <f t="shared" si="0"/>
        <v>1</v>
      </c>
    </row>
    <row r="6" spans="1:7" x14ac:dyDescent="0.3">
      <c r="A6">
        <v>1005</v>
      </c>
      <c r="B6" t="s">
        <v>12</v>
      </c>
      <c r="C6" t="s">
        <v>52</v>
      </c>
      <c r="D6" t="s">
        <v>53</v>
      </c>
      <c r="E6" s="3">
        <v>20</v>
      </c>
      <c r="F6">
        <f t="shared" si="0"/>
        <v>0</v>
      </c>
    </row>
    <row r="7" spans="1:7" x14ac:dyDescent="0.3">
      <c r="A7">
        <v>1006</v>
      </c>
      <c r="B7" t="s">
        <v>13</v>
      </c>
      <c r="C7" t="s">
        <v>52</v>
      </c>
      <c r="D7" t="s">
        <v>53</v>
      </c>
      <c r="E7" s="3">
        <v>10</v>
      </c>
      <c r="F7">
        <f t="shared" si="0"/>
        <v>0</v>
      </c>
    </row>
    <row r="8" spans="1:7" x14ac:dyDescent="0.3">
      <c r="A8">
        <v>1007</v>
      </c>
      <c r="B8" t="s">
        <v>14</v>
      </c>
      <c r="C8" t="s">
        <v>52</v>
      </c>
      <c r="D8" t="s">
        <v>53</v>
      </c>
      <c r="E8" s="3">
        <v>72</v>
      </c>
      <c r="F8">
        <f t="shared" si="0"/>
        <v>1</v>
      </c>
    </row>
    <row r="9" spans="1:7" x14ac:dyDescent="0.3">
      <c r="A9">
        <v>1008</v>
      </c>
      <c r="B9" t="s">
        <v>15</v>
      </c>
      <c r="C9" t="s">
        <v>52</v>
      </c>
      <c r="D9" t="s">
        <v>53</v>
      </c>
      <c r="E9" s="3">
        <v>80</v>
      </c>
      <c r="F9">
        <f t="shared" si="0"/>
        <v>1</v>
      </c>
    </row>
    <row r="10" spans="1:7" x14ac:dyDescent="0.3">
      <c r="A10">
        <v>1009</v>
      </c>
      <c r="B10" t="s">
        <v>16</v>
      </c>
      <c r="C10" t="s">
        <v>52</v>
      </c>
      <c r="D10" t="s">
        <v>53</v>
      </c>
      <c r="E10" s="3">
        <v>22</v>
      </c>
      <c r="F10">
        <f t="shared" si="0"/>
        <v>0</v>
      </c>
    </row>
    <row r="11" spans="1:7" x14ac:dyDescent="0.3">
      <c r="A11">
        <v>1010</v>
      </c>
      <c r="B11" t="s">
        <v>17</v>
      </c>
      <c r="C11" t="s">
        <v>52</v>
      </c>
      <c r="D11" t="s">
        <v>53</v>
      </c>
      <c r="E11" s="3">
        <v>8</v>
      </c>
      <c r="F11">
        <f t="shared" si="0"/>
        <v>0</v>
      </c>
    </row>
    <row r="12" spans="1:7" x14ac:dyDescent="0.3">
      <c r="A12">
        <v>1011</v>
      </c>
      <c r="B12" t="s">
        <v>18</v>
      </c>
      <c r="C12" t="s">
        <v>52</v>
      </c>
      <c r="D12" t="s">
        <v>53</v>
      </c>
      <c r="E12" s="3">
        <v>100</v>
      </c>
      <c r="F12">
        <f t="shared" si="0"/>
        <v>1</v>
      </c>
    </row>
    <row r="13" spans="1:7" x14ac:dyDescent="0.3">
      <c r="A13">
        <v>1012</v>
      </c>
      <c r="B13" t="s">
        <v>19</v>
      </c>
      <c r="C13" t="s">
        <v>52</v>
      </c>
      <c r="D13" t="s">
        <v>53</v>
      </c>
      <c r="E13" s="3">
        <v>49</v>
      </c>
      <c r="F13">
        <f t="shared" si="0"/>
        <v>0</v>
      </c>
    </row>
    <row r="14" spans="1:7" x14ac:dyDescent="0.3">
      <c r="A14">
        <v>1013</v>
      </c>
      <c r="B14" t="s">
        <v>20</v>
      </c>
      <c r="C14" t="s">
        <v>52</v>
      </c>
      <c r="D14" t="s">
        <v>53</v>
      </c>
      <c r="E14" s="3">
        <v>70</v>
      </c>
      <c r="F14">
        <f t="shared" si="0"/>
        <v>1</v>
      </c>
    </row>
    <row r="15" spans="1:7" x14ac:dyDescent="0.3">
      <c r="A15">
        <v>1014</v>
      </c>
      <c r="B15" t="s">
        <v>21</v>
      </c>
      <c r="C15" t="s">
        <v>52</v>
      </c>
      <c r="D15" t="s">
        <v>53</v>
      </c>
      <c r="E15" s="3">
        <v>86</v>
      </c>
      <c r="F15">
        <f t="shared" si="0"/>
        <v>1</v>
      </c>
    </row>
    <row r="16" spans="1:7" x14ac:dyDescent="0.3">
      <c r="A16">
        <v>1015</v>
      </c>
      <c r="B16" t="s">
        <v>22</v>
      </c>
      <c r="C16" t="s">
        <v>52</v>
      </c>
      <c r="D16" t="s">
        <v>53</v>
      </c>
      <c r="E16" s="3">
        <v>15</v>
      </c>
      <c r="F16">
        <f t="shared" si="0"/>
        <v>0</v>
      </c>
    </row>
    <row r="17" spans="1:6" x14ac:dyDescent="0.3">
      <c r="A17">
        <v>1016</v>
      </c>
      <c r="B17" t="s">
        <v>23</v>
      </c>
      <c r="C17" t="s">
        <v>52</v>
      </c>
      <c r="D17" t="s">
        <v>53</v>
      </c>
      <c r="E17" s="3">
        <v>95</v>
      </c>
      <c r="F17">
        <f t="shared" si="0"/>
        <v>1</v>
      </c>
    </row>
    <row r="18" spans="1:6" x14ac:dyDescent="0.3">
      <c r="A18">
        <v>1017</v>
      </c>
      <c r="B18" t="s">
        <v>24</v>
      </c>
      <c r="C18" t="s">
        <v>52</v>
      </c>
      <c r="D18" t="s">
        <v>53</v>
      </c>
      <c r="E18" s="3">
        <v>77</v>
      </c>
      <c r="F18">
        <f t="shared" si="0"/>
        <v>1</v>
      </c>
    </row>
    <row r="19" spans="1:6" x14ac:dyDescent="0.3">
      <c r="A19">
        <v>1018</v>
      </c>
      <c r="B19" t="s">
        <v>25</v>
      </c>
      <c r="C19" t="s">
        <v>52</v>
      </c>
      <c r="D19" t="s">
        <v>53</v>
      </c>
      <c r="E19" s="3">
        <v>20</v>
      </c>
      <c r="F19">
        <f t="shared" si="0"/>
        <v>0</v>
      </c>
    </row>
    <row r="20" spans="1:6" x14ac:dyDescent="0.3">
      <c r="A20">
        <v>1019</v>
      </c>
      <c r="B20" t="s">
        <v>26</v>
      </c>
      <c r="C20" t="s">
        <v>52</v>
      </c>
      <c r="D20" t="s">
        <v>53</v>
      </c>
      <c r="E20" s="3">
        <v>31</v>
      </c>
      <c r="F20">
        <f t="shared" si="0"/>
        <v>0</v>
      </c>
    </row>
    <row r="21" spans="1:6" x14ac:dyDescent="0.3">
      <c r="A21">
        <v>1020</v>
      </c>
      <c r="B21" t="s">
        <v>27</v>
      </c>
      <c r="C21" t="s">
        <v>52</v>
      </c>
      <c r="D21" t="s">
        <v>53</v>
      </c>
      <c r="E21" s="3">
        <v>48</v>
      </c>
      <c r="F21">
        <f t="shared" si="0"/>
        <v>0</v>
      </c>
    </row>
    <row r="22" spans="1:6" x14ac:dyDescent="0.3">
      <c r="A22">
        <v>1021</v>
      </c>
      <c r="B22" t="s">
        <v>28</v>
      </c>
      <c r="C22" t="s">
        <v>52</v>
      </c>
      <c r="D22" t="s">
        <v>53</v>
      </c>
      <c r="E22" s="3">
        <v>26</v>
      </c>
      <c r="F22">
        <f t="shared" si="0"/>
        <v>0</v>
      </c>
    </row>
  </sheetData>
  <autoFilter ref="A1:G1" xr:uid="{2B573227-D765-4D83-A9A0-B4FAF960D4E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8ECB4-C560-4125-B259-D22672293B40}">
  <dimension ref="A1:F40"/>
  <sheetViews>
    <sheetView workbookViewId="0">
      <selection activeCell="E1" sqref="E1:E1048576"/>
    </sheetView>
  </sheetViews>
  <sheetFormatPr defaultRowHeight="14.4" x14ac:dyDescent="0.3"/>
  <cols>
    <col min="1" max="1" width="11.6640625" bestFit="1" customWidth="1"/>
    <col min="2" max="2" width="15.44140625" bestFit="1" customWidth="1"/>
    <col min="3" max="3" width="13" bestFit="1" customWidth="1"/>
    <col min="4" max="4" width="12" bestFit="1" customWidth="1"/>
    <col min="5" max="5" width="13.44140625" bestFit="1" customWidth="1"/>
    <col min="6" max="6" width="20.44140625" bestFit="1" customWidth="1"/>
  </cols>
  <sheetData>
    <row r="1" spans="1:6" x14ac:dyDescent="0.3">
      <c r="A1" s="5" t="s">
        <v>0</v>
      </c>
      <c r="B1" s="1" t="s">
        <v>1</v>
      </c>
      <c r="C1" s="1" t="s">
        <v>2</v>
      </c>
      <c r="D1" s="1" t="s">
        <v>3</v>
      </c>
      <c r="E1" s="1" t="s">
        <v>4</v>
      </c>
      <c r="F1" s="2" t="s">
        <v>5</v>
      </c>
    </row>
    <row r="2" spans="1:6" x14ac:dyDescent="0.3">
      <c r="A2">
        <v>1001</v>
      </c>
      <c r="B2" t="s">
        <v>6</v>
      </c>
      <c r="C2" t="s">
        <v>54</v>
      </c>
      <c r="D2" t="s">
        <v>55</v>
      </c>
      <c r="E2" s="3">
        <v>70</v>
      </c>
      <c r="F2">
        <f>IF(E2&gt;=60,1,0)</f>
        <v>1</v>
      </c>
    </row>
    <row r="3" spans="1:6" x14ac:dyDescent="0.3">
      <c r="A3">
        <v>1002</v>
      </c>
      <c r="B3" t="s">
        <v>9</v>
      </c>
      <c r="C3" t="s">
        <v>54</v>
      </c>
      <c r="D3" t="s">
        <v>55</v>
      </c>
      <c r="E3" s="3">
        <v>37</v>
      </c>
      <c r="F3">
        <f t="shared" ref="F3:F40" si="0">IF(E3&gt;=60,1,0)</f>
        <v>0</v>
      </c>
    </row>
    <row r="4" spans="1:6" x14ac:dyDescent="0.3">
      <c r="A4">
        <v>1003</v>
      </c>
      <c r="B4" t="s">
        <v>10</v>
      </c>
      <c r="C4" t="s">
        <v>54</v>
      </c>
      <c r="D4" t="s">
        <v>55</v>
      </c>
      <c r="E4" s="3">
        <v>68</v>
      </c>
      <c r="F4">
        <f t="shared" si="0"/>
        <v>1</v>
      </c>
    </row>
    <row r="5" spans="1:6" x14ac:dyDescent="0.3">
      <c r="A5">
        <v>1004</v>
      </c>
      <c r="B5" t="s">
        <v>11</v>
      </c>
      <c r="C5" t="s">
        <v>54</v>
      </c>
      <c r="D5" t="s">
        <v>55</v>
      </c>
      <c r="E5" s="3">
        <v>60</v>
      </c>
      <c r="F5">
        <f t="shared" si="0"/>
        <v>1</v>
      </c>
    </row>
    <row r="6" spans="1:6" x14ac:dyDescent="0.3">
      <c r="A6">
        <v>1005</v>
      </c>
      <c r="B6" t="s">
        <v>12</v>
      </c>
      <c r="C6" t="s">
        <v>54</v>
      </c>
      <c r="D6" t="s">
        <v>55</v>
      </c>
      <c r="E6" s="3">
        <v>98</v>
      </c>
      <c r="F6">
        <f t="shared" si="0"/>
        <v>1</v>
      </c>
    </row>
    <row r="7" spans="1:6" x14ac:dyDescent="0.3">
      <c r="A7">
        <v>1006</v>
      </c>
      <c r="B7" t="s">
        <v>13</v>
      </c>
      <c r="C7" t="s">
        <v>54</v>
      </c>
      <c r="D7" t="s">
        <v>55</v>
      </c>
      <c r="E7" s="3">
        <v>20</v>
      </c>
      <c r="F7">
        <f t="shared" si="0"/>
        <v>0</v>
      </c>
    </row>
    <row r="8" spans="1:6" x14ac:dyDescent="0.3">
      <c r="A8">
        <v>1007</v>
      </c>
      <c r="B8" t="s">
        <v>14</v>
      </c>
      <c r="C8" t="s">
        <v>54</v>
      </c>
      <c r="D8" t="s">
        <v>55</v>
      </c>
      <c r="E8" s="3">
        <v>32</v>
      </c>
      <c r="F8">
        <f t="shared" si="0"/>
        <v>0</v>
      </c>
    </row>
    <row r="9" spans="1:6" x14ac:dyDescent="0.3">
      <c r="A9">
        <v>1008</v>
      </c>
      <c r="B9" t="s">
        <v>15</v>
      </c>
      <c r="C9" t="s">
        <v>54</v>
      </c>
      <c r="D9" t="s">
        <v>55</v>
      </c>
      <c r="E9" s="3">
        <v>40</v>
      </c>
      <c r="F9">
        <f t="shared" si="0"/>
        <v>0</v>
      </c>
    </row>
    <row r="10" spans="1:6" x14ac:dyDescent="0.3">
      <c r="A10">
        <v>1009</v>
      </c>
      <c r="B10" t="s">
        <v>16</v>
      </c>
      <c r="C10" t="s">
        <v>54</v>
      </c>
      <c r="D10" t="s">
        <v>55</v>
      </c>
      <c r="E10" s="3">
        <v>97</v>
      </c>
      <c r="F10">
        <f t="shared" si="0"/>
        <v>1</v>
      </c>
    </row>
    <row r="11" spans="1:6" x14ac:dyDescent="0.3">
      <c r="A11">
        <v>1010</v>
      </c>
      <c r="B11" t="s">
        <v>17</v>
      </c>
      <c r="C11" t="s">
        <v>54</v>
      </c>
      <c r="D11" t="s">
        <v>55</v>
      </c>
      <c r="E11" s="3">
        <v>1</v>
      </c>
      <c r="F11">
        <f t="shared" si="0"/>
        <v>0</v>
      </c>
    </row>
    <row r="12" spans="1:6" x14ac:dyDescent="0.3">
      <c r="A12">
        <v>1011</v>
      </c>
      <c r="B12" t="s">
        <v>18</v>
      </c>
      <c r="C12" t="s">
        <v>54</v>
      </c>
      <c r="D12" t="s">
        <v>55</v>
      </c>
      <c r="E12" s="3">
        <v>6</v>
      </c>
      <c r="F12">
        <f t="shared" si="0"/>
        <v>0</v>
      </c>
    </row>
    <row r="13" spans="1:6" x14ac:dyDescent="0.3">
      <c r="A13">
        <v>1012</v>
      </c>
      <c r="B13" t="s">
        <v>19</v>
      </c>
      <c r="C13" t="s">
        <v>54</v>
      </c>
      <c r="D13" t="s">
        <v>55</v>
      </c>
      <c r="E13" s="3">
        <v>39</v>
      </c>
      <c r="F13">
        <f t="shared" si="0"/>
        <v>0</v>
      </c>
    </row>
    <row r="14" spans="1:6" x14ac:dyDescent="0.3">
      <c r="A14">
        <v>1013</v>
      </c>
      <c r="B14" t="s">
        <v>20</v>
      </c>
      <c r="C14" t="s">
        <v>54</v>
      </c>
      <c r="D14" t="s">
        <v>55</v>
      </c>
      <c r="E14" s="3">
        <v>68</v>
      </c>
      <c r="F14">
        <f t="shared" si="0"/>
        <v>1</v>
      </c>
    </row>
    <row r="15" spans="1:6" x14ac:dyDescent="0.3">
      <c r="A15">
        <v>1014</v>
      </c>
      <c r="B15" t="s">
        <v>21</v>
      </c>
      <c r="C15" t="s">
        <v>54</v>
      </c>
      <c r="D15" t="s">
        <v>55</v>
      </c>
      <c r="E15" s="3">
        <v>37</v>
      </c>
      <c r="F15">
        <f t="shared" si="0"/>
        <v>0</v>
      </c>
    </row>
    <row r="16" spans="1:6" x14ac:dyDescent="0.3">
      <c r="A16">
        <v>1015</v>
      </c>
      <c r="B16" t="s">
        <v>22</v>
      </c>
      <c r="C16" t="s">
        <v>54</v>
      </c>
      <c r="D16" t="s">
        <v>55</v>
      </c>
      <c r="E16" s="3">
        <v>37</v>
      </c>
      <c r="F16">
        <f t="shared" si="0"/>
        <v>0</v>
      </c>
    </row>
    <row r="17" spans="1:6" x14ac:dyDescent="0.3">
      <c r="A17">
        <v>1016</v>
      </c>
      <c r="B17" t="s">
        <v>23</v>
      </c>
      <c r="C17" t="s">
        <v>54</v>
      </c>
      <c r="D17" t="s">
        <v>55</v>
      </c>
      <c r="E17" s="3">
        <v>90</v>
      </c>
      <c r="F17">
        <f t="shared" si="0"/>
        <v>1</v>
      </c>
    </row>
    <row r="18" spans="1:6" x14ac:dyDescent="0.3">
      <c r="A18">
        <v>1017</v>
      </c>
      <c r="B18" t="s">
        <v>24</v>
      </c>
      <c r="C18" t="s">
        <v>54</v>
      </c>
      <c r="D18" t="s">
        <v>55</v>
      </c>
      <c r="E18" s="3">
        <v>38</v>
      </c>
      <c r="F18">
        <f t="shared" si="0"/>
        <v>0</v>
      </c>
    </row>
    <row r="19" spans="1:6" x14ac:dyDescent="0.3">
      <c r="A19">
        <v>1018</v>
      </c>
      <c r="B19" t="s">
        <v>25</v>
      </c>
      <c r="C19" t="s">
        <v>54</v>
      </c>
      <c r="D19" t="s">
        <v>55</v>
      </c>
      <c r="E19" s="3">
        <v>87</v>
      </c>
      <c r="F19">
        <f t="shared" si="0"/>
        <v>1</v>
      </c>
    </row>
    <row r="20" spans="1:6" x14ac:dyDescent="0.3">
      <c r="A20">
        <v>1019</v>
      </c>
      <c r="B20" t="s">
        <v>26</v>
      </c>
      <c r="C20" t="s">
        <v>54</v>
      </c>
      <c r="D20" t="s">
        <v>55</v>
      </c>
      <c r="E20" s="3">
        <v>45</v>
      </c>
      <c r="F20">
        <f t="shared" si="0"/>
        <v>0</v>
      </c>
    </row>
    <row r="21" spans="1:6" x14ac:dyDescent="0.3">
      <c r="A21">
        <v>1020</v>
      </c>
      <c r="B21" t="s">
        <v>27</v>
      </c>
      <c r="C21" t="s">
        <v>54</v>
      </c>
      <c r="D21" t="s">
        <v>55</v>
      </c>
      <c r="E21" s="3">
        <v>73</v>
      </c>
      <c r="F21">
        <f t="shared" si="0"/>
        <v>1</v>
      </c>
    </row>
    <row r="22" spans="1:6" x14ac:dyDescent="0.3">
      <c r="A22">
        <v>1021</v>
      </c>
      <c r="B22" t="s">
        <v>28</v>
      </c>
      <c r="C22" t="s">
        <v>54</v>
      </c>
      <c r="D22" t="s">
        <v>55</v>
      </c>
      <c r="E22" s="3">
        <v>36</v>
      </c>
      <c r="F22">
        <f t="shared" si="0"/>
        <v>0</v>
      </c>
    </row>
    <row r="23" spans="1:6" x14ac:dyDescent="0.3">
      <c r="A23">
        <v>1022</v>
      </c>
      <c r="B23" t="s">
        <v>29</v>
      </c>
      <c r="C23" t="s">
        <v>54</v>
      </c>
      <c r="D23" t="s">
        <v>55</v>
      </c>
      <c r="E23" s="3">
        <v>35</v>
      </c>
      <c r="F23">
        <f t="shared" si="0"/>
        <v>0</v>
      </c>
    </row>
    <row r="24" spans="1:6" x14ac:dyDescent="0.3">
      <c r="A24">
        <v>1023</v>
      </c>
      <c r="B24" t="s">
        <v>30</v>
      </c>
      <c r="C24" t="s">
        <v>54</v>
      </c>
      <c r="D24" t="s">
        <v>55</v>
      </c>
      <c r="E24" s="3">
        <v>85</v>
      </c>
      <c r="F24">
        <f t="shared" si="0"/>
        <v>1</v>
      </c>
    </row>
    <row r="25" spans="1:6" x14ac:dyDescent="0.3">
      <c r="A25">
        <v>1024</v>
      </c>
      <c r="B25" t="s">
        <v>31</v>
      </c>
      <c r="C25" t="s">
        <v>54</v>
      </c>
      <c r="D25" t="s">
        <v>55</v>
      </c>
      <c r="E25" s="3">
        <v>7</v>
      </c>
      <c r="F25">
        <f t="shared" si="0"/>
        <v>0</v>
      </c>
    </row>
    <row r="26" spans="1:6" x14ac:dyDescent="0.3">
      <c r="A26">
        <v>1025</v>
      </c>
      <c r="B26" t="s">
        <v>32</v>
      </c>
      <c r="C26" t="s">
        <v>54</v>
      </c>
      <c r="D26" t="s">
        <v>55</v>
      </c>
      <c r="E26" s="3">
        <v>67</v>
      </c>
      <c r="F26">
        <f t="shared" si="0"/>
        <v>1</v>
      </c>
    </row>
    <row r="27" spans="1:6" x14ac:dyDescent="0.3">
      <c r="A27">
        <v>1026</v>
      </c>
      <c r="B27" t="s">
        <v>33</v>
      </c>
      <c r="C27" t="s">
        <v>54</v>
      </c>
      <c r="D27" t="s">
        <v>55</v>
      </c>
      <c r="E27" s="3">
        <v>80</v>
      </c>
      <c r="F27">
        <f t="shared" si="0"/>
        <v>1</v>
      </c>
    </row>
    <row r="28" spans="1:6" x14ac:dyDescent="0.3">
      <c r="A28">
        <v>1027</v>
      </c>
      <c r="B28" t="s">
        <v>34</v>
      </c>
      <c r="C28" t="s">
        <v>54</v>
      </c>
      <c r="D28" t="s">
        <v>55</v>
      </c>
      <c r="E28" s="3">
        <v>55</v>
      </c>
      <c r="F28">
        <f t="shared" si="0"/>
        <v>0</v>
      </c>
    </row>
    <row r="29" spans="1:6" x14ac:dyDescent="0.3">
      <c r="A29">
        <v>1028</v>
      </c>
      <c r="B29" t="s">
        <v>35</v>
      </c>
      <c r="C29" t="s">
        <v>54</v>
      </c>
      <c r="D29" t="s">
        <v>55</v>
      </c>
      <c r="E29" s="3">
        <v>83</v>
      </c>
      <c r="F29">
        <f t="shared" si="0"/>
        <v>1</v>
      </c>
    </row>
    <row r="30" spans="1:6" x14ac:dyDescent="0.3">
      <c r="A30">
        <v>1029</v>
      </c>
      <c r="B30" t="s">
        <v>36</v>
      </c>
      <c r="C30" t="s">
        <v>54</v>
      </c>
      <c r="D30" t="s">
        <v>55</v>
      </c>
      <c r="E30" s="3">
        <v>67</v>
      </c>
      <c r="F30">
        <f t="shared" si="0"/>
        <v>1</v>
      </c>
    </row>
    <row r="31" spans="1:6" x14ac:dyDescent="0.3">
      <c r="A31">
        <v>1030</v>
      </c>
      <c r="B31" t="s">
        <v>37</v>
      </c>
      <c r="C31" t="s">
        <v>54</v>
      </c>
      <c r="D31" t="s">
        <v>55</v>
      </c>
      <c r="E31" s="3">
        <v>27</v>
      </c>
      <c r="F31">
        <f t="shared" si="0"/>
        <v>0</v>
      </c>
    </row>
    <row r="32" spans="1:6" x14ac:dyDescent="0.3">
      <c r="A32">
        <v>1031</v>
      </c>
      <c r="B32" t="s">
        <v>38</v>
      </c>
      <c r="C32" t="s">
        <v>54</v>
      </c>
      <c r="D32" t="s">
        <v>55</v>
      </c>
      <c r="E32" s="3">
        <v>94</v>
      </c>
      <c r="F32">
        <f t="shared" si="0"/>
        <v>1</v>
      </c>
    </row>
    <row r="33" spans="1:6" x14ac:dyDescent="0.3">
      <c r="A33">
        <v>1032</v>
      </c>
      <c r="B33" t="s">
        <v>39</v>
      </c>
      <c r="C33" t="s">
        <v>54</v>
      </c>
      <c r="D33" t="s">
        <v>55</v>
      </c>
      <c r="E33" s="3">
        <v>96</v>
      </c>
      <c r="F33">
        <f t="shared" si="0"/>
        <v>1</v>
      </c>
    </row>
    <row r="34" spans="1:6" x14ac:dyDescent="0.3">
      <c r="A34">
        <v>1033</v>
      </c>
      <c r="B34" t="s">
        <v>40</v>
      </c>
      <c r="C34" t="s">
        <v>54</v>
      </c>
      <c r="D34" t="s">
        <v>55</v>
      </c>
      <c r="E34" s="3">
        <v>99</v>
      </c>
      <c r="F34">
        <f t="shared" si="0"/>
        <v>1</v>
      </c>
    </row>
    <row r="35" spans="1:6" x14ac:dyDescent="0.3">
      <c r="A35">
        <v>1034</v>
      </c>
      <c r="B35" t="s">
        <v>41</v>
      </c>
      <c r="C35" t="s">
        <v>54</v>
      </c>
      <c r="D35" t="s">
        <v>55</v>
      </c>
      <c r="E35" s="3">
        <v>64</v>
      </c>
      <c r="F35">
        <f t="shared" si="0"/>
        <v>1</v>
      </c>
    </row>
    <row r="36" spans="1:6" x14ac:dyDescent="0.3">
      <c r="A36">
        <v>1035</v>
      </c>
      <c r="B36" t="s">
        <v>42</v>
      </c>
      <c r="C36" t="s">
        <v>54</v>
      </c>
      <c r="D36" t="s">
        <v>55</v>
      </c>
      <c r="E36" s="3">
        <v>52</v>
      </c>
      <c r="F36">
        <f t="shared" si="0"/>
        <v>0</v>
      </c>
    </row>
    <row r="37" spans="1:6" x14ac:dyDescent="0.3">
      <c r="A37">
        <v>1036</v>
      </c>
      <c r="B37" t="s">
        <v>43</v>
      </c>
      <c r="C37" t="s">
        <v>54</v>
      </c>
      <c r="D37" t="s">
        <v>55</v>
      </c>
      <c r="E37" s="3">
        <v>16</v>
      </c>
      <c r="F37">
        <f t="shared" si="0"/>
        <v>0</v>
      </c>
    </row>
    <row r="38" spans="1:6" x14ac:dyDescent="0.3">
      <c r="A38">
        <v>1037</v>
      </c>
      <c r="B38" t="s">
        <v>44</v>
      </c>
      <c r="C38" t="s">
        <v>54</v>
      </c>
      <c r="D38" t="s">
        <v>55</v>
      </c>
      <c r="E38" s="3">
        <v>34</v>
      </c>
      <c r="F38">
        <f t="shared" si="0"/>
        <v>0</v>
      </c>
    </row>
    <row r="39" spans="1:6" x14ac:dyDescent="0.3">
      <c r="A39">
        <v>1038</v>
      </c>
      <c r="B39" t="s">
        <v>45</v>
      </c>
      <c r="C39" t="s">
        <v>54</v>
      </c>
      <c r="D39" t="s">
        <v>55</v>
      </c>
      <c r="E39" s="3">
        <v>76</v>
      </c>
      <c r="F39">
        <f t="shared" si="0"/>
        <v>1</v>
      </c>
    </row>
    <row r="40" spans="1:6" x14ac:dyDescent="0.3">
      <c r="A40">
        <v>1039</v>
      </c>
      <c r="B40" t="s">
        <v>56</v>
      </c>
      <c r="C40" t="s">
        <v>54</v>
      </c>
      <c r="D40" t="s">
        <v>55</v>
      </c>
      <c r="E40" s="3">
        <v>96</v>
      </c>
      <c r="F40">
        <f t="shared" si="0"/>
        <v>1</v>
      </c>
    </row>
  </sheetData>
  <autoFilter ref="A1:F1" xr:uid="{0E88ECB4-C560-4125-B259-D22672293B4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C4DEE-CA1C-42FC-8651-3AA96471E04E}">
  <dimension ref="A3:C6"/>
  <sheetViews>
    <sheetView workbookViewId="0">
      <selection activeCell="H19" sqref="H19"/>
    </sheetView>
  </sheetViews>
  <sheetFormatPr defaultRowHeight="14.4" x14ac:dyDescent="0.3"/>
  <cols>
    <col min="1" max="1" width="16.88671875" bestFit="1" customWidth="1"/>
    <col min="2" max="2" width="23.5546875" bestFit="1" customWidth="1"/>
    <col min="3" max="3" width="25.5546875" bestFit="1" customWidth="1"/>
  </cols>
  <sheetData>
    <row r="3" spans="1:3" x14ac:dyDescent="0.3">
      <c r="A3" s="6" t="s">
        <v>71</v>
      </c>
      <c r="B3" t="s">
        <v>97</v>
      </c>
      <c r="C3" t="s">
        <v>96</v>
      </c>
    </row>
    <row r="4" spans="1:3" x14ac:dyDescent="0.3">
      <c r="A4" s="7" t="s">
        <v>16</v>
      </c>
      <c r="B4" s="13">
        <v>100</v>
      </c>
      <c r="C4" s="10">
        <v>56.833333333333336</v>
      </c>
    </row>
    <row r="5" spans="1:3" x14ac:dyDescent="0.3">
      <c r="A5" s="8" t="s">
        <v>81</v>
      </c>
      <c r="B5" s="13">
        <v>100</v>
      </c>
      <c r="C5" s="10">
        <v>56.833333333333336</v>
      </c>
    </row>
    <row r="6" spans="1:3" x14ac:dyDescent="0.3">
      <c r="A6" s="7" t="s">
        <v>72</v>
      </c>
      <c r="B6" s="13">
        <v>100</v>
      </c>
      <c r="C6" s="10">
        <v>56.833333333333336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E85B3-1811-4FAC-B89A-97A268626BD1}">
  <dimension ref="A3:G5"/>
  <sheetViews>
    <sheetView workbookViewId="0">
      <selection activeCell="A4" sqref="A4"/>
    </sheetView>
  </sheetViews>
  <sheetFormatPr defaultRowHeight="14.4" x14ac:dyDescent="0.3"/>
  <cols>
    <col min="1" max="1" width="14.77734375" bestFit="1" customWidth="1"/>
    <col min="2" max="2" width="16" bestFit="1" customWidth="1"/>
    <col min="3" max="3" width="18.6640625" bestFit="1" customWidth="1"/>
    <col min="4" max="4" width="16.88671875" bestFit="1" customWidth="1"/>
    <col min="5" max="5" width="13.77734375" bestFit="1" customWidth="1"/>
    <col min="6" max="6" width="13.6640625" bestFit="1" customWidth="1"/>
    <col min="7" max="7" width="15.44140625" bestFit="1" customWidth="1"/>
  </cols>
  <sheetData>
    <row r="3" spans="1:7" x14ac:dyDescent="0.3">
      <c r="A3" s="6" t="s">
        <v>71</v>
      </c>
      <c r="B3" t="s">
        <v>87</v>
      </c>
      <c r="C3" t="s">
        <v>88</v>
      </c>
      <c r="D3" t="s">
        <v>89</v>
      </c>
      <c r="E3" t="s">
        <v>77</v>
      </c>
      <c r="F3" t="s">
        <v>90</v>
      </c>
      <c r="G3" t="s">
        <v>91</v>
      </c>
    </row>
    <row r="4" spans="1:7" x14ac:dyDescent="0.3">
      <c r="A4" s="7" t="s">
        <v>16</v>
      </c>
      <c r="B4" s="13">
        <v>46</v>
      </c>
      <c r="C4" s="13">
        <v>31</v>
      </c>
      <c r="D4" s="13">
        <v>72</v>
      </c>
      <c r="E4" s="13">
        <v>73</v>
      </c>
      <c r="F4" s="13">
        <v>22</v>
      </c>
      <c r="G4" s="13">
        <v>97</v>
      </c>
    </row>
    <row r="5" spans="1:7" x14ac:dyDescent="0.3">
      <c r="A5" s="7" t="s">
        <v>72</v>
      </c>
      <c r="B5" s="13">
        <v>46</v>
      </c>
      <c r="C5" s="13">
        <v>31</v>
      </c>
      <c r="D5" s="13">
        <v>72</v>
      </c>
      <c r="E5" s="13">
        <v>73</v>
      </c>
      <c r="F5" s="13">
        <v>22</v>
      </c>
      <c r="G5" s="13">
        <v>97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05C20-B6F0-4CEB-8B36-884628A502D1}">
  <dimension ref="A3:D44"/>
  <sheetViews>
    <sheetView topLeftCell="A28" workbookViewId="0">
      <selection activeCell="D44" sqref="D44"/>
    </sheetView>
  </sheetViews>
  <sheetFormatPr defaultRowHeight="14.4" x14ac:dyDescent="0.3"/>
  <cols>
    <col min="1" max="1" width="14.77734375" bestFit="1" customWidth="1"/>
    <col min="2" max="2" width="16.109375" bestFit="1" customWidth="1"/>
    <col min="3" max="3" width="15.44140625" bestFit="1" customWidth="1"/>
    <col min="4" max="4" width="21.5546875" bestFit="1" customWidth="1"/>
  </cols>
  <sheetData>
    <row r="3" spans="1:3" x14ac:dyDescent="0.3">
      <c r="A3" s="6" t="s">
        <v>71</v>
      </c>
      <c r="B3" t="s">
        <v>98</v>
      </c>
      <c r="C3" t="s">
        <v>75</v>
      </c>
    </row>
    <row r="4" spans="1:3" x14ac:dyDescent="0.3">
      <c r="A4" s="7" t="s">
        <v>16</v>
      </c>
      <c r="B4" s="13">
        <v>100</v>
      </c>
      <c r="C4" s="13">
        <v>1</v>
      </c>
    </row>
    <row r="5" spans="1:3" x14ac:dyDescent="0.3">
      <c r="A5" s="7" t="s">
        <v>72</v>
      </c>
      <c r="B5" s="13">
        <v>100</v>
      </c>
      <c r="C5" s="13">
        <v>1</v>
      </c>
    </row>
    <row r="44" spans="4:4" ht="31.2" x14ac:dyDescent="0.6">
      <c r="D44" s="11" t="s">
        <v>100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93BAE-25D7-40A1-9F47-F975380546FF}">
  <dimension ref="A3:C5"/>
  <sheetViews>
    <sheetView workbookViewId="0">
      <selection activeCell="B3" sqref="B3"/>
    </sheetView>
  </sheetViews>
  <sheetFormatPr defaultRowHeight="14.4" x14ac:dyDescent="0.3"/>
  <cols>
    <col min="1" max="1" width="14.77734375" bestFit="1" customWidth="1"/>
    <col min="2" max="2" width="16.77734375" bestFit="1" customWidth="1"/>
    <col min="3" max="3" width="23" bestFit="1" customWidth="1"/>
  </cols>
  <sheetData>
    <row r="3" spans="1:3" x14ac:dyDescent="0.3">
      <c r="A3" s="6" t="s">
        <v>71</v>
      </c>
      <c r="B3" t="s">
        <v>99</v>
      </c>
      <c r="C3" t="s">
        <v>92</v>
      </c>
    </row>
    <row r="4" spans="1:3" x14ac:dyDescent="0.3">
      <c r="A4" s="7" t="s">
        <v>16</v>
      </c>
      <c r="B4" s="13">
        <v>25</v>
      </c>
      <c r="C4" s="10">
        <v>4.5620075580477</v>
      </c>
    </row>
    <row r="5" spans="1:3" x14ac:dyDescent="0.3">
      <c r="A5" s="7" t="s">
        <v>72</v>
      </c>
      <c r="B5" s="13">
        <v>25</v>
      </c>
      <c r="C5" s="10">
        <v>4.5620075580477</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38898-BD4A-4D69-AD11-16BF270C0729}">
  <dimension ref="A1:AC40"/>
  <sheetViews>
    <sheetView tabSelected="1" zoomScale="109" zoomScaleNormal="70" workbookViewId="0">
      <selection activeCell="S1" sqref="S1"/>
    </sheetView>
  </sheetViews>
  <sheetFormatPr defaultRowHeight="14.4" x14ac:dyDescent="0.3"/>
  <cols>
    <col min="1" max="1" width="11.6640625" bestFit="1" customWidth="1"/>
    <col min="2" max="2" width="15.44140625" bestFit="1" customWidth="1"/>
    <col min="3" max="3" width="6.44140625" bestFit="1" customWidth="1"/>
    <col min="4" max="4" width="9.33203125" bestFit="1" customWidth="1"/>
    <col min="5" max="10" width="13.44140625" bestFit="1" customWidth="1"/>
    <col min="11" max="11" width="20.44140625" bestFit="1" customWidth="1"/>
    <col min="12" max="12" width="18.109375" customWidth="1"/>
    <col min="13" max="13" width="23.44140625" bestFit="1" customWidth="1"/>
    <col min="14" max="14" width="10.5546875" bestFit="1" customWidth="1"/>
    <col min="15" max="15" width="18.77734375" bestFit="1" customWidth="1"/>
    <col min="16" max="16" width="18.77734375" customWidth="1"/>
    <col min="17" max="17" width="18.5546875" style="10" bestFit="1" customWidth="1"/>
    <col min="18" max="18" width="17.5546875" style="10" bestFit="1" customWidth="1"/>
    <col min="19" max="19" width="18.5546875" customWidth="1"/>
    <col min="20" max="20" width="11.109375" bestFit="1" customWidth="1"/>
    <col min="21" max="21" width="21.6640625" bestFit="1" customWidth="1"/>
    <col min="22" max="22" width="10.33203125" bestFit="1" customWidth="1"/>
    <col min="23" max="23" width="17.109375" bestFit="1" customWidth="1"/>
    <col min="24" max="24" width="15.44140625" bestFit="1" customWidth="1"/>
    <col min="25" max="25" width="8.33203125" bestFit="1" customWidth="1"/>
    <col min="27" max="27" width="13.5546875" bestFit="1" customWidth="1"/>
    <col min="28" max="28" width="12" bestFit="1" customWidth="1"/>
    <col min="29" max="29" width="12.21875" bestFit="1" customWidth="1"/>
  </cols>
  <sheetData>
    <row r="1" spans="1:29" x14ac:dyDescent="0.3">
      <c r="A1" s="5" t="s">
        <v>0</v>
      </c>
      <c r="B1" s="1" t="s">
        <v>1</v>
      </c>
      <c r="C1" s="5" t="s">
        <v>57</v>
      </c>
      <c r="D1" s="5" t="s">
        <v>58</v>
      </c>
      <c r="E1" s="1" t="s">
        <v>7</v>
      </c>
      <c r="F1" s="1" t="s">
        <v>46</v>
      </c>
      <c r="G1" s="1" t="s">
        <v>48</v>
      </c>
      <c r="H1" s="1" t="s">
        <v>50</v>
      </c>
      <c r="I1" s="1" t="s">
        <v>52</v>
      </c>
      <c r="J1" s="1" t="s">
        <v>76</v>
      </c>
      <c r="K1" s="1" t="s">
        <v>93</v>
      </c>
      <c r="L1" s="1" t="s">
        <v>94</v>
      </c>
      <c r="M1" s="1" t="s">
        <v>95</v>
      </c>
      <c r="N1" s="5" t="s">
        <v>59</v>
      </c>
      <c r="O1" s="5" t="s">
        <v>60</v>
      </c>
      <c r="P1" s="5" t="s">
        <v>85</v>
      </c>
      <c r="Q1" s="9" t="s">
        <v>61</v>
      </c>
      <c r="R1" s="9" t="s">
        <v>86</v>
      </c>
      <c r="S1" s="1" t="s">
        <v>73</v>
      </c>
      <c r="T1" s="5" t="s">
        <v>62</v>
      </c>
      <c r="U1" s="5" t="s">
        <v>74</v>
      </c>
      <c r="V1" s="5" t="s">
        <v>63</v>
      </c>
      <c r="W1" s="5" t="s">
        <v>64</v>
      </c>
      <c r="X1" s="5" t="s">
        <v>65</v>
      </c>
      <c r="Y1" s="5" t="s">
        <v>66</v>
      </c>
      <c r="Z1" s="5" t="s">
        <v>67</v>
      </c>
      <c r="AA1" s="5" t="s">
        <v>68</v>
      </c>
      <c r="AB1" s="5" t="s">
        <v>69</v>
      </c>
      <c r="AC1" s="5" t="s">
        <v>70</v>
      </c>
    </row>
    <row r="2" spans="1:29" x14ac:dyDescent="0.3">
      <c r="A2">
        <v>1001</v>
      </c>
      <c r="B2" t="s">
        <v>6</v>
      </c>
      <c r="C2">
        <v>17</v>
      </c>
      <c r="D2" t="s">
        <v>78</v>
      </c>
      <c r="E2" s="3">
        <v>31</v>
      </c>
      <c r="F2" s="3">
        <v>52</v>
      </c>
      <c r="G2" s="3">
        <v>48</v>
      </c>
      <c r="H2" s="3">
        <v>35</v>
      </c>
      <c r="I2" s="3">
        <v>69</v>
      </c>
      <c r="J2" s="3">
        <v>70</v>
      </c>
      <c r="K2" s="3">
        <f ca="1">RANDBETWEEN(100,100)</f>
        <v>100</v>
      </c>
      <c r="L2" s="3">
        <f>AVERAGE(E2:J2)</f>
        <v>50.833333333333336</v>
      </c>
      <c r="M2" s="3">
        <f ca="1">K2-L2</f>
        <v>49.166666666666664</v>
      </c>
      <c r="N2">
        <v>0</v>
      </c>
      <c r="O2">
        <v>2</v>
      </c>
      <c r="P2">
        <f ca="1">RANDBETWEEN(25,25)</f>
        <v>25</v>
      </c>
      <c r="Q2" s="10">
        <v>19.833722807854699</v>
      </c>
      <c r="R2" s="10">
        <f ca="1">P2-Q2</f>
        <v>5.1662771921453015</v>
      </c>
      <c r="S2">
        <f ca="1">RANDBETWEEN(100,100)</f>
        <v>100</v>
      </c>
      <c r="T2">
        <v>7</v>
      </c>
      <c r="U2">
        <f ca="1">S2-T2</f>
        <v>93</v>
      </c>
      <c r="V2">
        <v>1</v>
      </c>
      <c r="W2">
        <v>2</v>
      </c>
      <c r="X2">
        <v>0</v>
      </c>
      <c r="Y2">
        <v>0</v>
      </c>
      <c r="Z2">
        <v>1</v>
      </c>
      <c r="AA2">
        <v>0</v>
      </c>
      <c r="AB2">
        <v>2.9291955916676802</v>
      </c>
      <c r="AC2" t="s">
        <v>81</v>
      </c>
    </row>
    <row r="3" spans="1:29" x14ac:dyDescent="0.3">
      <c r="A3">
        <v>1002</v>
      </c>
      <c r="B3" t="s">
        <v>9</v>
      </c>
      <c r="C3">
        <v>18</v>
      </c>
      <c r="D3" t="s">
        <v>79</v>
      </c>
      <c r="E3" s="3">
        <v>43</v>
      </c>
      <c r="F3" s="3">
        <v>20</v>
      </c>
      <c r="G3" s="3">
        <v>5</v>
      </c>
      <c r="H3" s="3">
        <v>66</v>
      </c>
      <c r="I3" s="3">
        <v>95</v>
      </c>
      <c r="J3" s="3">
        <v>37</v>
      </c>
      <c r="K3" s="3">
        <f t="shared" ref="K3:K40" ca="1" si="0">RANDBETWEEN(100,100)</f>
        <v>100</v>
      </c>
      <c r="L3" s="3">
        <f t="shared" ref="L3:L40" si="1">AVERAGE(E3:J3)</f>
        <v>44.333333333333336</v>
      </c>
      <c r="M3" s="3">
        <f t="shared" ref="M3:M40" ca="1" si="2">K3-L3</f>
        <v>55.666666666666664</v>
      </c>
      <c r="N3">
        <v>0</v>
      </c>
      <c r="O3">
        <v>1</v>
      </c>
      <c r="P3">
        <f t="shared" ref="P3:P40" ca="1" si="3">RANDBETWEEN(25,25)</f>
        <v>25</v>
      </c>
      <c r="Q3" s="10">
        <v>15.4087560558467</v>
      </c>
      <c r="R3" s="10">
        <f t="shared" ref="R3:R40" ca="1" si="4">P3-Q3</f>
        <v>9.5912439441532999</v>
      </c>
      <c r="S3">
        <f t="shared" ref="S3:S40" ca="1" si="5">RANDBETWEEN(100,100)</f>
        <v>100</v>
      </c>
      <c r="T3">
        <v>0</v>
      </c>
      <c r="U3">
        <f t="shared" ref="U3:U40" ca="1" si="6">S3-T3</f>
        <v>100</v>
      </c>
      <c r="V3">
        <v>0</v>
      </c>
      <c r="W3">
        <v>1</v>
      </c>
      <c r="X3">
        <v>0</v>
      </c>
      <c r="Y3">
        <v>0</v>
      </c>
      <c r="Z3">
        <v>0</v>
      </c>
      <c r="AA3">
        <v>0</v>
      </c>
      <c r="AB3">
        <v>3.0429148334363698</v>
      </c>
      <c r="AC3" t="s">
        <v>80</v>
      </c>
    </row>
    <row r="4" spans="1:29" x14ac:dyDescent="0.3">
      <c r="A4">
        <v>1003</v>
      </c>
      <c r="B4" t="s">
        <v>10</v>
      </c>
      <c r="C4">
        <v>15</v>
      </c>
      <c r="D4" t="s">
        <v>79</v>
      </c>
      <c r="E4" s="3">
        <v>81</v>
      </c>
      <c r="F4" s="3">
        <v>32</v>
      </c>
      <c r="G4" s="3">
        <v>7</v>
      </c>
      <c r="H4" s="3">
        <v>29</v>
      </c>
      <c r="I4" s="3">
        <v>33</v>
      </c>
      <c r="J4" s="3">
        <v>68</v>
      </c>
      <c r="K4" s="3">
        <f t="shared" ca="1" si="0"/>
        <v>100</v>
      </c>
      <c r="L4" s="3">
        <f t="shared" si="1"/>
        <v>41.666666666666664</v>
      </c>
      <c r="M4" s="3">
        <f t="shared" ca="1" si="2"/>
        <v>58.333333333333336</v>
      </c>
      <c r="N4">
        <v>2</v>
      </c>
      <c r="O4">
        <v>3</v>
      </c>
      <c r="P4">
        <f t="shared" ca="1" si="3"/>
        <v>25</v>
      </c>
      <c r="Q4" s="10">
        <v>4.2105697688122596</v>
      </c>
      <c r="R4" s="10">
        <f t="shared" ca="1" si="4"/>
        <v>20.78943023118774</v>
      </c>
      <c r="S4">
        <f t="shared" ca="1" si="5"/>
        <v>100</v>
      </c>
      <c r="T4">
        <v>26</v>
      </c>
      <c r="U4">
        <f t="shared" ca="1" si="6"/>
        <v>74</v>
      </c>
      <c r="V4">
        <v>0</v>
      </c>
      <c r="W4">
        <v>2</v>
      </c>
      <c r="X4">
        <v>0</v>
      </c>
      <c r="Y4">
        <v>0</v>
      </c>
      <c r="Z4">
        <v>0</v>
      </c>
      <c r="AA4">
        <v>0</v>
      </c>
      <c r="AB4">
        <v>0.112602254466181</v>
      </c>
      <c r="AC4" t="s">
        <v>83</v>
      </c>
    </row>
    <row r="5" spans="1:29" x14ac:dyDescent="0.3">
      <c r="A5">
        <v>1004</v>
      </c>
      <c r="B5" t="s">
        <v>11</v>
      </c>
      <c r="C5">
        <v>17</v>
      </c>
      <c r="D5" t="s">
        <v>78</v>
      </c>
      <c r="E5" s="3">
        <v>11</v>
      </c>
      <c r="F5" s="3">
        <v>19</v>
      </c>
      <c r="G5" s="3">
        <v>70</v>
      </c>
      <c r="H5" s="3">
        <v>91</v>
      </c>
      <c r="I5" s="3">
        <v>76</v>
      </c>
      <c r="J5" s="3">
        <v>60</v>
      </c>
      <c r="K5" s="3">
        <f t="shared" ca="1" si="0"/>
        <v>100</v>
      </c>
      <c r="L5" s="3">
        <f t="shared" si="1"/>
        <v>54.5</v>
      </c>
      <c r="M5" s="3">
        <f t="shared" ca="1" si="2"/>
        <v>45.5</v>
      </c>
      <c r="N5">
        <v>0</v>
      </c>
      <c r="O5">
        <v>3</v>
      </c>
      <c r="P5">
        <f t="shared" ca="1" si="3"/>
        <v>25</v>
      </c>
      <c r="Q5" s="10">
        <v>10.028829473958201</v>
      </c>
      <c r="R5" s="10">
        <f t="shared" ca="1" si="4"/>
        <v>14.971170526041799</v>
      </c>
      <c r="S5">
        <f t="shared" ca="1" si="5"/>
        <v>100</v>
      </c>
      <c r="T5">
        <v>14</v>
      </c>
      <c r="U5">
        <f t="shared" ca="1" si="6"/>
        <v>86</v>
      </c>
      <c r="V5">
        <v>0</v>
      </c>
      <c r="W5">
        <v>3</v>
      </c>
      <c r="X5">
        <v>1</v>
      </c>
      <c r="Y5">
        <v>0</v>
      </c>
      <c r="Z5">
        <v>0</v>
      </c>
      <c r="AA5">
        <v>0</v>
      </c>
      <c r="AB5">
        <v>2.05421813970294</v>
      </c>
      <c r="AC5" t="s">
        <v>82</v>
      </c>
    </row>
    <row r="6" spans="1:29" x14ac:dyDescent="0.3">
      <c r="A6">
        <v>1005</v>
      </c>
      <c r="B6" t="s">
        <v>12</v>
      </c>
      <c r="C6">
        <v>17</v>
      </c>
      <c r="D6" t="s">
        <v>78</v>
      </c>
      <c r="E6" s="3">
        <v>18</v>
      </c>
      <c r="F6" s="3">
        <v>61</v>
      </c>
      <c r="G6" s="3">
        <v>73</v>
      </c>
      <c r="H6" s="3">
        <v>63</v>
      </c>
      <c r="I6" s="3">
        <v>20</v>
      </c>
      <c r="J6" s="3">
        <v>98</v>
      </c>
      <c r="K6" s="3">
        <f t="shared" ca="1" si="0"/>
        <v>100</v>
      </c>
      <c r="L6" s="3">
        <f t="shared" si="1"/>
        <v>55.5</v>
      </c>
      <c r="M6" s="3">
        <f t="shared" ca="1" si="2"/>
        <v>44.5</v>
      </c>
      <c r="N6">
        <v>0</v>
      </c>
      <c r="O6">
        <v>2</v>
      </c>
      <c r="P6">
        <f t="shared" ca="1" si="3"/>
        <v>25</v>
      </c>
      <c r="Q6" s="10">
        <v>4.6724952729713296</v>
      </c>
      <c r="R6" s="10">
        <f t="shared" ca="1" si="4"/>
        <v>20.327504727028671</v>
      </c>
      <c r="S6">
        <f t="shared" ca="1" si="5"/>
        <v>100</v>
      </c>
      <c r="T6">
        <v>17</v>
      </c>
      <c r="U6">
        <f t="shared" ca="1" si="6"/>
        <v>83</v>
      </c>
      <c r="V6">
        <v>1</v>
      </c>
      <c r="W6">
        <v>3</v>
      </c>
      <c r="X6">
        <v>0</v>
      </c>
      <c r="Y6">
        <v>0</v>
      </c>
      <c r="Z6">
        <v>0</v>
      </c>
      <c r="AA6">
        <v>0</v>
      </c>
      <c r="AB6">
        <v>1.28806118179538</v>
      </c>
      <c r="AC6" t="s">
        <v>83</v>
      </c>
    </row>
    <row r="7" spans="1:29" x14ac:dyDescent="0.3">
      <c r="A7">
        <v>1006</v>
      </c>
      <c r="B7" t="s">
        <v>13</v>
      </c>
      <c r="C7">
        <v>18</v>
      </c>
      <c r="D7" t="s">
        <v>79</v>
      </c>
      <c r="E7" s="3">
        <v>55</v>
      </c>
      <c r="F7" s="3">
        <v>34</v>
      </c>
      <c r="G7" s="3">
        <v>59</v>
      </c>
      <c r="H7" s="3">
        <v>16</v>
      </c>
      <c r="I7" s="3">
        <v>10</v>
      </c>
      <c r="J7" s="3">
        <v>20</v>
      </c>
      <c r="K7" s="3">
        <f t="shared" ca="1" si="0"/>
        <v>100</v>
      </c>
      <c r="L7" s="3">
        <f t="shared" si="1"/>
        <v>32.333333333333336</v>
      </c>
      <c r="M7" s="3">
        <f t="shared" ca="1" si="2"/>
        <v>67.666666666666657</v>
      </c>
      <c r="N7">
        <v>0</v>
      </c>
      <c r="O7">
        <v>1</v>
      </c>
      <c r="P7">
        <f t="shared" ca="1" si="3"/>
        <v>25</v>
      </c>
      <c r="Q7" s="10">
        <v>8.1912185452501802</v>
      </c>
      <c r="R7" s="10">
        <f t="shared" ca="1" si="4"/>
        <v>16.80878145474982</v>
      </c>
      <c r="S7">
        <f t="shared" ca="1" si="5"/>
        <v>100</v>
      </c>
      <c r="T7">
        <v>0</v>
      </c>
      <c r="U7">
        <f t="shared" ca="1" si="6"/>
        <v>100</v>
      </c>
      <c r="V7">
        <v>0</v>
      </c>
      <c r="W7">
        <v>1</v>
      </c>
      <c r="X7">
        <v>1</v>
      </c>
      <c r="Y7">
        <v>0</v>
      </c>
      <c r="Z7">
        <v>0</v>
      </c>
      <c r="AA7">
        <v>0</v>
      </c>
      <c r="AB7">
        <v>3.0841836144863901</v>
      </c>
      <c r="AC7" t="s">
        <v>80</v>
      </c>
    </row>
    <row r="8" spans="1:29" x14ac:dyDescent="0.3">
      <c r="A8">
        <v>1007</v>
      </c>
      <c r="B8" t="s">
        <v>14</v>
      </c>
      <c r="C8">
        <v>15</v>
      </c>
      <c r="D8" t="s">
        <v>79</v>
      </c>
      <c r="E8" s="3">
        <v>38</v>
      </c>
      <c r="F8" s="3">
        <v>9</v>
      </c>
      <c r="G8" s="3">
        <v>23</v>
      </c>
      <c r="H8" s="3">
        <v>10</v>
      </c>
      <c r="I8" s="3">
        <v>72</v>
      </c>
      <c r="J8" s="3">
        <v>32</v>
      </c>
      <c r="K8" s="3">
        <f t="shared" ca="1" si="0"/>
        <v>100</v>
      </c>
      <c r="L8" s="3">
        <f t="shared" si="1"/>
        <v>30.666666666666668</v>
      </c>
      <c r="M8" s="3">
        <f t="shared" ca="1" si="2"/>
        <v>69.333333333333329</v>
      </c>
      <c r="N8">
        <v>1</v>
      </c>
      <c r="O8">
        <v>1</v>
      </c>
      <c r="P8">
        <f t="shared" ca="1" si="3"/>
        <v>25</v>
      </c>
      <c r="Q8" s="10">
        <v>15.601680474699201</v>
      </c>
      <c r="R8" s="10">
        <f t="shared" ca="1" si="4"/>
        <v>9.3983195253007992</v>
      </c>
      <c r="S8">
        <f t="shared" ca="1" si="5"/>
        <v>100</v>
      </c>
      <c r="T8">
        <v>10</v>
      </c>
      <c r="U8">
        <f t="shared" ca="1" si="6"/>
        <v>90</v>
      </c>
      <c r="V8">
        <v>0</v>
      </c>
      <c r="W8">
        <v>3</v>
      </c>
      <c r="X8">
        <v>0</v>
      </c>
      <c r="Y8">
        <v>1</v>
      </c>
      <c r="Z8">
        <v>0</v>
      </c>
      <c r="AA8">
        <v>0</v>
      </c>
      <c r="AB8">
        <v>2.7482374148915798</v>
      </c>
      <c r="AC8" t="s">
        <v>81</v>
      </c>
    </row>
    <row r="9" spans="1:29" x14ac:dyDescent="0.3">
      <c r="A9">
        <v>1008</v>
      </c>
      <c r="B9" t="s">
        <v>15</v>
      </c>
      <c r="C9">
        <v>15</v>
      </c>
      <c r="D9" t="s">
        <v>78</v>
      </c>
      <c r="E9" s="3">
        <v>16</v>
      </c>
      <c r="F9" s="3">
        <v>22</v>
      </c>
      <c r="G9" s="3">
        <v>72</v>
      </c>
      <c r="H9" s="3">
        <v>23</v>
      </c>
      <c r="I9" s="3">
        <v>80</v>
      </c>
      <c r="J9" s="3">
        <v>40</v>
      </c>
      <c r="K9" s="3">
        <f t="shared" ca="1" si="0"/>
        <v>100</v>
      </c>
      <c r="L9" s="3">
        <f t="shared" si="1"/>
        <v>42.166666666666664</v>
      </c>
      <c r="M9" s="3">
        <f t="shared" ca="1" si="2"/>
        <v>57.833333333333336</v>
      </c>
      <c r="N9">
        <v>1</v>
      </c>
      <c r="O9">
        <v>4</v>
      </c>
      <c r="P9">
        <f t="shared" ca="1" si="3"/>
        <v>25</v>
      </c>
      <c r="Q9" s="10">
        <v>15.424496305808001</v>
      </c>
      <c r="R9" s="10">
        <f t="shared" ca="1" si="4"/>
        <v>9.5755036941919993</v>
      </c>
      <c r="S9">
        <f t="shared" ca="1" si="5"/>
        <v>100</v>
      </c>
      <c r="T9">
        <v>22</v>
      </c>
      <c r="U9">
        <f t="shared" ca="1" si="6"/>
        <v>78</v>
      </c>
      <c r="V9">
        <v>1</v>
      </c>
      <c r="W9">
        <v>1</v>
      </c>
      <c r="X9">
        <v>1</v>
      </c>
      <c r="Y9">
        <v>0</v>
      </c>
      <c r="Z9">
        <v>0</v>
      </c>
      <c r="AA9">
        <v>0</v>
      </c>
      <c r="AB9">
        <v>1.36014271231646</v>
      </c>
      <c r="AC9" t="s">
        <v>83</v>
      </c>
    </row>
    <row r="10" spans="1:29" x14ac:dyDescent="0.3">
      <c r="A10">
        <v>1009</v>
      </c>
      <c r="B10" t="s">
        <v>16</v>
      </c>
      <c r="C10">
        <v>17</v>
      </c>
      <c r="D10" t="s">
        <v>79</v>
      </c>
      <c r="E10" s="3">
        <v>73</v>
      </c>
      <c r="F10" s="3">
        <v>46</v>
      </c>
      <c r="G10" s="3">
        <v>31</v>
      </c>
      <c r="H10" s="3">
        <v>72</v>
      </c>
      <c r="I10" s="3">
        <v>22</v>
      </c>
      <c r="J10" s="3">
        <v>97</v>
      </c>
      <c r="K10" s="3">
        <f t="shared" ca="1" si="0"/>
        <v>100</v>
      </c>
      <c r="L10" s="3">
        <f t="shared" si="1"/>
        <v>56.833333333333336</v>
      </c>
      <c r="M10" s="3">
        <f t="shared" ca="1" si="2"/>
        <v>43.166666666666664</v>
      </c>
      <c r="N10">
        <v>0</v>
      </c>
      <c r="O10">
        <v>0</v>
      </c>
      <c r="P10">
        <f t="shared" ca="1" si="3"/>
        <v>25</v>
      </c>
      <c r="Q10" s="10">
        <v>4.5620075580477</v>
      </c>
      <c r="R10" s="10">
        <f t="shared" ca="1" si="4"/>
        <v>20.4379924419523</v>
      </c>
      <c r="S10">
        <f t="shared" ca="1" si="5"/>
        <v>100</v>
      </c>
      <c r="T10">
        <v>1</v>
      </c>
      <c r="U10">
        <f t="shared" ca="1" si="6"/>
        <v>99</v>
      </c>
      <c r="V10">
        <v>0</v>
      </c>
      <c r="W10">
        <v>2</v>
      </c>
      <c r="X10">
        <v>0</v>
      </c>
      <c r="Y10">
        <v>1</v>
      </c>
      <c r="Z10">
        <v>0</v>
      </c>
      <c r="AA10">
        <v>1</v>
      </c>
      <c r="AB10">
        <v>2.8968191895135602</v>
      </c>
      <c r="AC10" t="s">
        <v>81</v>
      </c>
    </row>
    <row r="11" spans="1:29" x14ac:dyDescent="0.3">
      <c r="A11">
        <v>1010</v>
      </c>
      <c r="B11" t="s">
        <v>17</v>
      </c>
      <c r="C11">
        <v>16</v>
      </c>
      <c r="D11" t="s">
        <v>78</v>
      </c>
      <c r="E11" s="3">
        <v>16</v>
      </c>
      <c r="F11" s="3">
        <v>100</v>
      </c>
      <c r="G11" s="3">
        <v>74</v>
      </c>
      <c r="H11" s="3">
        <v>93</v>
      </c>
      <c r="I11" s="3">
        <v>8</v>
      </c>
      <c r="J11" s="3">
        <v>1</v>
      </c>
      <c r="K11" s="3">
        <f t="shared" ca="1" si="0"/>
        <v>100</v>
      </c>
      <c r="L11" s="3">
        <f t="shared" si="1"/>
        <v>48.666666666666664</v>
      </c>
      <c r="M11" s="3">
        <f t="shared" ca="1" si="2"/>
        <v>51.333333333333336</v>
      </c>
      <c r="N11">
        <v>0</v>
      </c>
      <c r="O11">
        <v>1</v>
      </c>
      <c r="P11">
        <f t="shared" ca="1" si="3"/>
        <v>25</v>
      </c>
      <c r="Q11" s="10">
        <v>18.444466363097199</v>
      </c>
      <c r="R11" s="10">
        <f t="shared" ca="1" si="4"/>
        <v>6.5555336369028012</v>
      </c>
      <c r="S11">
        <f t="shared" ca="1" si="5"/>
        <v>100</v>
      </c>
      <c r="T11">
        <v>0</v>
      </c>
      <c r="U11">
        <f t="shared" ca="1" si="6"/>
        <v>100</v>
      </c>
      <c r="V11">
        <v>0</v>
      </c>
      <c r="W11">
        <v>3</v>
      </c>
      <c r="X11">
        <v>1</v>
      </c>
      <c r="Y11">
        <v>0</v>
      </c>
      <c r="Z11">
        <v>0</v>
      </c>
      <c r="AA11">
        <v>0</v>
      </c>
      <c r="AB11">
        <v>3.5734742103297599</v>
      </c>
      <c r="AC11" t="s">
        <v>84</v>
      </c>
    </row>
    <row r="12" spans="1:29" x14ac:dyDescent="0.3">
      <c r="A12">
        <v>1011</v>
      </c>
      <c r="B12" t="s">
        <v>18</v>
      </c>
      <c r="C12">
        <v>17</v>
      </c>
      <c r="D12" t="s">
        <v>79</v>
      </c>
      <c r="E12" s="3">
        <v>23</v>
      </c>
      <c r="F12" s="3">
        <v>92</v>
      </c>
      <c r="G12" s="3">
        <v>91</v>
      </c>
      <c r="H12" s="3">
        <v>10</v>
      </c>
      <c r="I12" s="3">
        <v>100</v>
      </c>
      <c r="J12" s="3">
        <v>6</v>
      </c>
      <c r="K12" s="3">
        <f t="shared" ca="1" si="0"/>
        <v>100</v>
      </c>
      <c r="L12" s="3">
        <f t="shared" si="1"/>
        <v>53.666666666666664</v>
      </c>
      <c r="M12" s="3">
        <f t="shared" ca="1" si="2"/>
        <v>46.333333333333336</v>
      </c>
      <c r="N12">
        <v>0</v>
      </c>
      <c r="O12">
        <v>1</v>
      </c>
      <c r="P12">
        <f t="shared" ca="1" si="3"/>
        <v>25</v>
      </c>
      <c r="Q12" s="10">
        <v>11.851363655296501</v>
      </c>
      <c r="R12" s="10">
        <f t="shared" ca="1" si="4"/>
        <v>13.148636344703499</v>
      </c>
      <c r="S12">
        <f t="shared" ca="1" si="5"/>
        <v>100</v>
      </c>
      <c r="T12">
        <v>11</v>
      </c>
      <c r="U12">
        <f t="shared" ca="1" si="6"/>
        <v>89</v>
      </c>
      <c r="V12">
        <v>0</v>
      </c>
      <c r="W12">
        <v>1</v>
      </c>
      <c r="X12">
        <v>0</v>
      </c>
      <c r="Y12">
        <v>0</v>
      </c>
      <c r="Z12">
        <v>0</v>
      </c>
      <c r="AA12">
        <v>0</v>
      </c>
      <c r="AB12">
        <v>2.14717162501851</v>
      </c>
      <c r="AC12" t="s">
        <v>82</v>
      </c>
    </row>
    <row r="13" spans="1:29" x14ac:dyDescent="0.3">
      <c r="A13">
        <v>1012</v>
      </c>
      <c r="B13" t="s">
        <v>19</v>
      </c>
      <c r="C13">
        <v>17</v>
      </c>
      <c r="D13" t="s">
        <v>79</v>
      </c>
      <c r="E13" s="3">
        <v>55</v>
      </c>
      <c r="F13" s="3">
        <v>1</v>
      </c>
      <c r="G13" s="3">
        <v>53</v>
      </c>
      <c r="H13" s="3">
        <v>99</v>
      </c>
      <c r="I13" s="3">
        <v>49</v>
      </c>
      <c r="J13" s="3">
        <v>39</v>
      </c>
      <c r="K13" s="3">
        <f t="shared" ca="1" si="0"/>
        <v>100</v>
      </c>
      <c r="L13" s="3">
        <f t="shared" si="1"/>
        <v>49.333333333333336</v>
      </c>
      <c r="M13" s="3">
        <f t="shared" ca="1" si="2"/>
        <v>50.666666666666664</v>
      </c>
      <c r="N13">
        <v>0</v>
      </c>
      <c r="O13">
        <v>1</v>
      </c>
      <c r="P13">
        <f t="shared" ca="1" si="3"/>
        <v>25</v>
      </c>
      <c r="Q13" s="10">
        <v>7.59848581924029</v>
      </c>
      <c r="R13" s="10">
        <f t="shared" ca="1" si="4"/>
        <v>17.401514180759712</v>
      </c>
      <c r="S13">
        <f t="shared" ca="1" si="5"/>
        <v>100</v>
      </c>
      <c r="T13">
        <v>15</v>
      </c>
      <c r="U13">
        <f t="shared" ca="1" si="6"/>
        <v>85</v>
      </c>
      <c r="V13">
        <v>0</v>
      </c>
      <c r="W13">
        <v>2</v>
      </c>
      <c r="X13">
        <v>0</v>
      </c>
      <c r="Y13">
        <v>0</v>
      </c>
      <c r="Z13">
        <v>0</v>
      </c>
      <c r="AA13">
        <v>1</v>
      </c>
      <c r="AB13">
        <v>1.55959451904027</v>
      </c>
      <c r="AC13" t="s">
        <v>83</v>
      </c>
    </row>
    <row r="14" spans="1:29" x14ac:dyDescent="0.3">
      <c r="A14">
        <v>1013</v>
      </c>
      <c r="B14" t="s">
        <v>20</v>
      </c>
      <c r="C14">
        <v>17</v>
      </c>
      <c r="D14" t="s">
        <v>79</v>
      </c>
      <c r="E14" s="3">
        <v>71</v>
      </c>
      <c r="F14" s="3">
        <v>84</v>
      </c>
      <c r="G14" s="3">
        <v>56</v>
      </c>
      <c r="H14" s="3">
        <v>78</v>
      </c>
      <c r="I14" s="3">
        <v>70</v>
      </c>
      <c r="J14" s="3">
        <v>68</v>
      </c>
      <c r="K14" s="3">
        <f t="shared" ca="1" si="0"/>
        <v>100</v>
      </c>
      <c r="L14" s="3">
        <f t="shared" si="1"/>
        <v>71.166666666666671</v>
      </c>
      <c r="M14" s="3">
        <f t="shared" ca="1" si="2"/>
        <v>28.833333333333329</v>
      </c>
      <c r="N14">
        <v>1</v>
      </c>
      <c r="O14">
        <v>1</v>
      </c>
      <c r="P14">
        <f t="shared" ca="1" si="3"/>
        <v>25</v>
      </c>
      <c r="Q14" s="10">
        <v>10.038711615617199</v>
      </c>
      <c r="R14" s="10">
        <f t="shared" ca="1" si="4"/>
        <v>14.961288384382801</v>
      </c>
      <c r="S14">
        <f t="shared" ca="1" si="5"/>
        <v>100</v>
      </c>
      <c r="T14">
        <v>21</v>
      </c>
      <c r="U14">
        <f t="shared" ca="1" si="6"/>
        <v>79</v>
      </c>
      <c r="V14">
        <v>0</v>
      </c>
      <c r="W14">
        <v>3</v>
      </c>
      <c r="X14">
        <v>1</v>
      </c>
      <c r="Y14">
        <v>0</v>
      </c>
      <c r="Z14">
        <v>0</v>
      </c>
      <c r="AA14">
        <v>0</v>
      </c>
      <c r="AB14">
        <v>1.5200778148748</v>
      </c>
      <c r="AC14" t="s">
        <v>83</v>
      </c>
    </row>
    <row r="15" spans="1:29" x14ac:dyDescent="0.3">
      <c r="A15">
        <v>1014</v>
      </c>
      <c r="B15" t="s">
        <v>21</v>
      </c>
      <c r="C15">
        <v>17</v>
      </c>
      <c r="D15" t="s">
        <v>79</v>
      </c>
      <c r="E15" s="3">
        <v>12</v>
      </c>
      <c r="F15" s="3">
        <v>63</v>
      </c>
      <c r="G15" s="3">
        <v>53</v>
      </c>
      <c r="H15" s="3">
        <v>81</v>
      </c>
      <c r="I15" s="3">
        <v>86</v>
      </c>
      <c r="J15" s="3">
        <v>37</v>
      </c>
      <c r="K15" s="3">
        <f t="shared" ca="1" si="0"/>
        <v>100</v>
      </c>
      <c r="L15" s="3">
        <f t="shared" si="1"/>
        <v>55.333333333333336</v>
      </c>
      <c r="M15" s="3">
        <f t="shared" ca="1" si="2"/>
        <v>44.666666666666664</v>
      </c>
      <c r="N15">
        <v>1</v>
      </c>
      <c r="O15">
        <v>2</v>
      </c>
      <c r="P15">
        <f t="shared" ca="1" si="3"/>
        <v>25</v>
      </c>
      <c r="Q15" s="10">
        <v>12.1014250687548</v>
      </c>
      <c r="R15" s="10">
        <f t="shared" ca="1" si="4"/>
        <v>12.8985749312452</v>
      </c>
      <c r="S15">
        <f t="shared" ca="1" si="5"/>
        <v>100</v>
      </c>
      <c r="T15">
        <v>21</v>
      </c>
      <c r="U15">
        <f t="shared" ca="1" si="6"/>
        <v>79</v>
      </c>
      <c r="V15">
        <v>0</v>
      </c>
      <c r="W15">
        <v>4</v>
      </c>
      <c r="X15">
        <v>0</v>
      </c>
      <c r="Y15">
        <v>1</v>
      </c>
      <c r="Z15">
        <v>0</v>
      </c>
      <c r="AA15">
        <v>0</v>
      </c>
      <c r="AB15">
        <v>1.75158095833407</v>
      </c>
      <c r="AC15" t="s">
        <v>83</v>
      </c>
    </row>
    <row r="16" spans="1:29" x14ac:dyDescent="0.3">
      <c r="A16">
        <v>1015</v>
      </c>
      <c r="B16" t="s">
        <v>22</v>
      </c>
      <c r="C16">
        <v>18</v>
      </c>
      <c r="D16" t="s">
        <v>78</v>
      </c>
      <c r="E16" s="3">
        <v>77</v>
      </c>
      <c r="F16" s="3">
        <v>59</v>
      </c>
      <c r="G16" s="3">
        <v>100</v>
      </c>
      <c r="H16" s="3">
        <v>40</v>
      </c>
      <c r="I16" s="3">
        <v>15</v>
      </c>
      <c r="J16" s="3">
        <v>37</v>
      </c>
      <c r="K16" s="3">
        <f t="shared" ca="1" si="0"/>
        <v>100</v>
      </c>
      <c r="L16" s="3">
        <f t="shared" si="1"/>
        <v>54.666666666666664</v>
      </c>
      <c r="M16" s="3">
        <f t="shared" ca="1" si="2"/>
        <v>45.333333333333336</v>
      </c>
      <c r="N16">
        <v>0</v>
      </c>
      <c r="O16">
        <v>1</v>
      </c>
      <c r="P16">
        <f t="shared" ca="1" si="3"/>
        <v>25</v>
      </c>
      <c r="Q16" s="10">
        <v>11.197810636915699</v>
      </c>
      <c r="R16" s="10">
        <f t="shared" ca="1" si="4"/>
        <v>13.802189363084301</v>
      </c>
      <c r="S16">
        <f t="shared" ca="1" si="5"/>
        <v>100</v>
      </c>
      <c r="T16">
        <v>9</v>
      </c>
      <c r="U16">
        <f t="shared" ca="1" si="6"/>
        <v>91</v>
      </c>
      <c r="V16">
        <v>1</v>
      </c>
      <c r="W16">
        <v>2</v>
      </c>
      <c r="X16">
        <v>0</v>
      </c>
      <c r="Y16">
        <v>0</v>
      </c>
      <c r="Z16">
        <v>0</v>
      </c>
      <c r="AA16">
        <v>0</v>
      </c>
      <c r="AB16">
        <v>2.3967881171247898</v>
      </c>
      <c r="AC16" t="s">
        <v>82</v>
      </c>
    </row>
    <row r="17" spans="1:29" x14ac:dyDescent="0.3">
      <c r="A17">
        <v>1016</v>
      </c>
      <c r="B17" t="s">
        <v>23</v>
      </c>
      <c r="C17">
        <v>15</v>
      </c>
      <c r="D17" t="s">
        <v>79</v>
      </c>
      <c r="E17" s="3">
        <v>19</v>
      </c>
      <c r="F17" s="3">
        <v>61</v>
      </c>
      <c r="G17" s="3">
        <v>50</v>
      </c>
      <c r="H17" s="3">
        <v>23</v>
      </c>
      <c r="I17" s="3">
        <v>95</v>
      </c>
      <c r="J17" s="3">
        <v>90</v>
      </c>
      <c r="K17" s="3">
        <f t="shared" ca="1" si="0"/>
        <v>100</v>
      </c>
      <c r="L17" s="3">
        <f t="shared" si="1"/>
        <v>56.333333333333336</v>
      </c>
      <c r="M17" s="3">
        <f t="shared" ca="1" si="2"/>
        <v>43.666666666666664</v>
      </c>
      <c r="N17">
        <v>0</v>
      </c>
      <c r="O17">
        <v>2</v>
      </c>
      <c r="P17">
        <f t="shared" ca="1" si="3"/>
        <v>25</v>
      </c>
      <c r="Q17" s="10">
        <v>9.7281007107235595</v>
      </c>
      <c r="R17" s="10">
        <f t="shared" ca="1" si="4"/>
        <v>15.27189928927644</v>
      </c>
      <c r="S17">
        <f t="shared" ca="1" si="5"/>
        <v>100</v>
      </c>
      <c r="T17">
        <v>17</v>
      </c>
      <c r="U17">
        <f t="shared" ca="1" si="6"/>
        <v>83</v>
      </c>
      <c r="V17">
        <v>1</v>
      </c>
      <c r="W17">
        <v>0</v>
      </c>
      <c r="X17">
        <v>0</v>
      </c>
      <c r="Y17">
        <v>1</v>
      </c>
      <c r="Z17">
        <v>0</v>
      </c>
      <c r="AA17">
        <v>0</v>
      </c>
      <c r="AB17">
        <v>1.3415207165346601</v>
      </c>
      <c r="AC17" t="s">
        <v>83</v>
      </c>
    </row>
    <row r="18" spans="1:29" x14ac:dyDescent="0.3">
      <c r="A18">
        <v>1017</v>
      </c>
      <c r="B18" t="s">
        <v>24</v>
      </c>
      <c r="C18">
        <v>18</v>
      </c>
      <c r="D18" t="s">
        <v>79</v>
      </c>
      <c r="E18" s="3">
        <v>57</v>
      </c>
      <c r="F18" s="3">
        <v>47</v>
      </c>
      <c r="G18" s="3">
        <v>60</v>
      </c>
      <c r="H18" s="3">
        <v>65</v>
      </c>
      <c r="I18" s="3">
        <v>77</v>
      </c>
      <c r="J18" s="3">
        <v>38</v>
      </c>
      <c r="K18" s="3">
        <f t="shared" ca="1" si="0"/>
        <v>100</v>
      </c>
      <c r="L18" s="3">
        <f t="shared" si="1"/>
        <v>57.333333333333336</v>
      </c>
      <c r="M18" s="3">
        <f t="shared" ca="1" si="2"/>
        <v>42.666666666666664</v>
      </c>
      <c r="N18">
        <v>3</v>
      </c>
      <c r="O18">
        <v>1</v>
      </c>
      <c r="P18">
        <f t="shared" ca="1" si="3"/>
        <v>25</v>
      </c>
      <c r="Q18" s="10">
        <v>10.098656081788</v>
      </c>
      <c r="R18" s="10">
        <f t="shared" ca="1" si="4"/>
        <v>14.901343918212</v>
      </c>
      <c r="S18">
        <f t="shared" ca="1" si="5"/>
        <v>100</v>
      </c>
      <c r="T18">
        <v>14</v>
      </c>
      <c r="U18">
        <f t="shared" ca="1" si="6"/>
        <v>86</v>
      </c>
      <c r="V18">
        <v>0</v>
      </c>
      <c r="W18">
        <v>2</v>
      </c>
      <c r="X18">
        <v>1</v>
      </c>
      <c r="Y18">
        <v>1</v>
      </c>
      <c r="Z18">
        <v>0</v>
      </c>
      <c r="AA18">
        <v>0</v>
      </c>
      <c r="AB18">
        <v>2.23217527771597</v>
      </c>
      <c r="AC18" t="s">
        <v>82</v>
      </c>
    </row>
    <row r="19" spans="1:29" x14ac:dyDescent="0.3">
      <c r="A19">
        <v>1018</v>
      </c>
      <c r="B19" t="s">
        <v>25</v>
      </c>
      <c r="C19">
        <v>18</v>
      </c>
      <c r="D19" t="s">
        <v>78</v>
      </c>
      <c r="E19" s="3">
        <v>78</v>
      </c>
      <c r="F19" s="3">
        <v>27</v>
      </c>
      <c r="G19" s="3">
        <v>38</v>
      </c>
      <c r="H19" s="3">
        <v>24</v>
      </c>
      <c r="I19" s="3">
        <v>20</v>
      </c>
      <c r="J19" s="3">
        <v>87</v>
      </c>
      <c r="K19" s="3">
        <f t="shared" ca="1" si="0"/>
        <v>100</v>
      </c>
      <c r="L19" s="3">
        <f t="shared" si="1"/>
        <v>45.666666666666664</v>
      </c>
      <c r="M19" s="3">
        <f t="shared" ca="1" si="2"/>
        <v>54.333333333333336</v>
      </c>
      <c r="N19">
        <v>0</v>
      </c>
      <c r="O19">
        <v>0</v>
      </c>
      <c r="P19">
        <f t="shared" ca="1" si="3"/>
        <v>25</v>
      </c>
      <c r="Q19" s="10">
        <v>3.52823820855772</v>
      </c>
      <c r="R19" s="10">
        <f t="shared" ca="1" si="4"/>
        <v>21.47176179144228</v>
      </c>
      <c r="S19">
        <f t="shared" ca="1" si="5"/>
        <v>100</v>
      </c>
      <c r="T19">
        <v>16</v>
      </c>
      <c r="U19">
        <f t="shared" ca="1" si="6"/>
        <v>84</v>
      </c>
      <c r="V19">
        <v>1</v>
      </c>
      <c r="W19">
        <v>2</v>
      </c>
      <c r="X19">
        <v>0</v>
      </c>
      <c r="Y19">
        <v>0</v>
      </c>
      <c r="Z19">
        <v>0</v>
      </c>
      <c r="AA19">
        <v>0</v>
      </c>
      <c r="AB19">
        <v>1.38440417569403</v>
      </c>
      <c r="AC19" t="s">
        <v>83</v>
      </c>
    </row>
    <row r="20" spans="1:29" x14ac:dyDescent="0.3">
      <c r="A20">
        <v>1019</v>
      </c>
      <c r="B20" t="s">
        <v>26</v>
      </c>
      <c r="C20">
        <v>18</v>
      </c>
      <c r="D20" t="s">
        <v>79</v>
      </c>
      <c r="E20" s="3">
        <v>92</v>
      </c>
      <c r="F20" s="3">
        <v>99</v>
      </c>
      <c r="G20" s="3">
        <v>33</v>
      </c>
      <c r="H20" s="3">
        <v>62</v>
      </c>
      <c r="I20" s="3">
        <v>31</v>
      </c>
      <c r="J20" s="3">
        <v>45</v>
      </c>
      <c r="K20" s="3">
        <f t="shared" ca="1" si="0"/>
        <v>100</v>
      </c>
      <c r="L20" s="3">
        <f t="shared" si="1"/>
        <v>60.333333333333336</v>
      </c>
      <c r="M20" s="3">
        <f t="shared" ca="1" si="2"/>
        <v>39.666666666666664</v>
      </c>
      <c r="N20">
        <v>1</v>
      </c>
      <c r="O20">
        <v>3</v>
      </c>
      <c r="P20">
        <f t="shared" ca="1" si="3"/>
        <v>25</v>
      </c>
      <c r="Q20" s="10">
        <v>16.254658086093499</v>
      </c>
      <c r="R20" s="10">
        <f t="shared" ca="1" si="4"/>
        <v>8.7453419139065005</v>
      </c>
      <c r="S20">
        <f t="shared" ca="1" si="5"/>
        <v>100</v>
      </c>
      <c r="T20">
        <v>29</v>
      </c>
      <c r="U20">
        <f t="shared" ca="1" si="6"/>
        <v>71</v>
      </c>
      <c r="V20">
        <v>0</v>
      </c>
      <c r="W20">
        <v>2</v>
      </c>
      <c r="X20">
        <v>1</v>
      </c>
      <c r="Y20">
        <v>0</v>
      </c>
      <c r="Z20">
        <v>0</v>
      </c>
      <c r="AA20">
        <v>1</v>
      </c>
      <c r="AB20">
        <v>0.46955332337986999</v>
      </c>
      <c r="AC20" t="s">
        <v>83</v>
      </c>
    </row>
    <row r="21" spans="1:29" x14ac:dyDescent="0.3">
      <c r="A21">
        <v>1020</v>
      </c>
      <c r="B21" t="s">
        <v>27</v>
      </c>
      <c r="C21">
        <v>17</v>
      </c>
      <c r="D21" t="s">
        <v>79</v>
      </c>
      <c r="E21" s="3">
        <v>23</v>
      </c>
      <c r="F21" s="3">
        <v>84</v>
      </c>
      <c r="G21" s="3">
        <v>75</v>
      </c>
      <c r="H21" s="3">
        <v>41</v>
      </c>
      <c r="I21" s="3">
        <v>48</v>
      </c>
      <c r="J21" s="3">
        <v>73</v>
      </c>
      <c r="K21" s="3">
        <f t="shared" ca="1" si="0"/>
        <v>100</v>
      </c>
      <c r="L21" s="3">
        <f t="shared" si="1"/>
        <v>57.333333333333336</v>
      </c>
      <c r="M21" s="3">
        <f t="shared" ca="1" si="2"/>
        <v>42.666666666666664</v>
      </c>
      <c r="N21">
        <v>0</v>
      </c>
      <c r="O21">
        <v>1</v>
      </c>
      <c r="P21">
        <f t="shared" ca="1" si="3"/>
        <v>25</v>
      </c>
      <c r="Q21" s="10">
        <v>10.835206398820301</v>
      </c>
      <c r="R21" s="10">
        <f t="shared" ca="1" si="4"/>
        <v>14.164793601179699</v>
      </c>
      <c r="S21">
        <f t="shared" ca="1" si="5"/>
        <v>100</v>
      </c>
      <c r="T21">
        <v>9</v>
      </c>
      <c r="U21">
        <f t="shared" ca="1" si="6"/>
        <v>91</v>
      </c>
      <c r="V21">
        <v>0</v>
      </c>
      <c r="W21">
        <v>2</v>
      </c>
      <c r="X21">
        <v>0</v>
      </c>
      <c r="Y21">
        <v>0</v>
      </c>
      <c r="Z21">
        <v>1</v>
      </c>
      <c r="AA21">
        <v>0</v>
      </c>
      <c r="AB21">
        <v>2.3957840945306899</v>
      </c>
      <c r="AC21" t="s">
        <v>82</v>
      </c>
    </row>
    <row r="22" spans="1:29" x14ac:dyDescent="0.3">
      <c r="A22">
        <v>1021</v>
      </c>
      <c r="B22" t="s">
        <v>28</v>
      </c>
      <c r="C22">
        <v>16</v>
      </c>
      <c r="D22" t="s">
        <v>78</v>
      </c>
      <c r="E22" s="3">
        <v>62</v>
      </c>
      <c r="F22" s="3">
        <v>95</v>
      </c>
      <c r="G22" s="3">
        <v>74</v>
      </c>
      <c r="H22" s="3">
        <v>42</v>
      </c>
      <c r="I22" s="3">
        <v>26</v>
      </c>
      <c r="J22" s="3">
        <v>36</v>
      </c>
      <c r="K22" s="3">
        <f t="shared" ca="1" si="0"/>
        <v>100</v>
      </c>
      <c r="L22" s="3">
        <f t="shared" si="1"/>
        <v>55.833333333333336</v>
      </c>
      <c r="M22" s="3">
        <f t="shared" ca="1" si="2"/>
        <v>44.166666666666664</v>
      </c>
      <c r="N22">
        <v>0</v>
      </c>
      <c r="O22">
        <v>3</v>
      </c>
      <c r="P22">
        <f t="shared" ca="1" si="3"/>
        <v>25</v>
      </c>
      <c r="Q22" s="10">
        <v>2.6215972340940601</v>
      </c>
      <c r="R22" s="10">
        <f t="shared" ca="1" si="4"/>
        <v>22.378402765905939</v>
      </c>
      <c r="S22">
        <f t="shared" ca="1" si="5"/>
        <v>100</v>
      </c>
      <c r="T22">
        <v>2</v>
      </c>
      <c r="U22">
        <f t="shared" ca="1" si="6"/>
        <v>98</v>
      </c>
      <c r="V22">
        <v>0</v>
      </c>
      <c r="W22">
        <v>3</v>
      </c>
      <c r="X22">
        <v>0</v>
      </c>
      <c r="Y22">
        <v>0</v>
      </c>
      <c r="Z22">
        <v>0</v>
      </c>
      <c r="AA22">
        <v>1</v>
      </c>
      <c r="AB22">
        <v>2.7784112999206498</v>
      </c>
      <c r="AC22" t="s">
        <v>81</v>
      </c>
    </row>
    <row r="23" spans="1:29" x14ac:dyDescent="0.3">
      <c r="A23">
        <v>1022</v>
      </c>
      <c r="B23" t="s">
        <v>29</v>
      </c>
      <c r="C23">
        <v>15</v>
      </c>
      <c r="D23" t="s">
        <v>79</v>
      </c>
      <c r="E23" s="3">
        <v>1</v>
      </c>
      <c r="F23" s="3">
        <v>50</v>
      </c>
      <c r="G23" s="3">
        <v>7</v>
      </c>
      <c r="H23" s="3">
        <v>8</v>
      </c>
      <c r="I23">
        <f ca="1">RANDBETWEEN(30,99)</f>
        <v>75</v>
      </c>
      <c r="J23" s="3">
        <v>35</v>
      </c>
      <c r="K23" s="3">
        <f t="shared" ca="1" si="0"/>
        <v>100</v>
      </c>
      <c r="L23" s="3">
        <f t="shared" ca="1" si="1"/>
        <v>29.333333333333332</v>
      </c>
      <c r="M23" s="3">
        <f t="shared" ca="1" si="2"/>
        <v>70.666666666666671</v>
      </c>
      <c r="N23">
        <v>0</v>
      </c>
      <c r="O23">
        <v>2</v>
      </c>
      <c r="P23">
        <f t="shared" ca="1" si="3"/>
        <v>25</v>
      </c>
      <c r="Q23" s="10">
        <v>15.3231420316555</v>
      </c>
      <c r="R23" s="10">
        <f t="shared" ca="1" si="4"/>
        <v>9.6768579683444997</v>
      </c>
      <c r="S23">
        <f t="shared" ca="1" si="5"/>
        <v>100</v>
      </c>
      <c r="T23">
        <v>25</v>
      </c>
      <c r="U23">
        <f t="shared" ca="1" si="6"/>
        <v>75</v>
      </c>
      <c r="V23">
        <v>0</v>
      </c>
      <c r="W23">
        <v>1</v>
      </c>
      <c r="X23">
        <v>1</v>
      </c>
      <c r="Y23">
        <v>0</v>
      </c>
      <c r="Z23">
        <v>0</v>
      </c>
      <c r="AA23">
        <v>0</v>
      </c>
      <c r="AB23">
        <v>0.34689403670501401</v>
      </c>
      <c r="AC23" t="s">
        <v>83</v>
      </c>
    </row>
    <row r="24" spans="1:29" x14ac:dyDescent="0.3">
      <c r="A24">
        <v>1023</v>
      </c>
      <c r="B24" t="s">
        <v>30</v>
      </c>
      <c r="C24">
        <v>16</v>
      </c>
      <c r="D24" t="s">
        <v>78</v>
      </c>
      <c r="E24" s="3">
        <v>100</v>
      </c>
      <c r="F24" s="3">
        <v>27</v>
      </c>
      <c r="G24" s="3">
        <v>6</v>
      </c>
      <c r="H24" s="3">
        <v>91</v>
      </c>
      <c r="I24">
        <f t="shared" ref="I24:I40" ca="1" si="7">RANDBETWEEN(30,99)</f>
        <v>90</v>
      </c>
      <c r="J24" s="3">
        <v>85</v>
      </c>
      <c r="K24" s="3">
        <f t="shared" ca="1" si="0"/>
        <v>100</v>
      </c>
      <c r="L24" s="3">
        <f t="shared" ca="1" si="1"/>
        <v>66.5</v>
      </c>
      <c r="M24" s="3">
        <f t="shared" ca="1" si="2"/>
        <v>33.5</v>
      </c>
      <c r="N24">
        <v>1</v>
      </c>
      <c r="O24">
        <v>0</v>
      </c>
      <c r="P24">
        <f t="shared" ca="1" si="3"/>
        <v>25</v>
      </c>
      <c r="Q24" s="10">
        <v>18.648879567546999</v>
      </c>
      <c r="R24" s="10">
        <f t="shared" ca="1" si="4"/>
        <v>6.3511204324530013</v>
      </c>
      <c r="S24">
        <f t="shared" ca="1" si="5"/>
        <v>100</v>
      </c>
      <c r="T24">
        <v>29</v>
      </c>
      <c r="U24">
        <f t="shared" ca="1" si="6"/>
        <v>71</v>
      </c>
      <c r="V24">
        <v>1</v>
      </c>
      <c r="W24">
        <v>1</v>
      </c>
      <c r="X24">
        <v>0</v>
      </c>
      <c r="Y24">
        <v>0</v>
      </c>
      <c r="Z24">
        <v>0</v>
      </c>
      <c r="AA24">
        <v>0</v>
      </c>
      <c r="AB24">
        <v>0.31254623052535402</v>
      </c>
      <c r="AC24" t="s">
        <v>83</v>
      </c>
    </row>
    <row r="25" spans="1:29" x14ac:dyDescent="0.3">
      <c r="A25">
        <v>1024</v>
      </c>
      <c r="B25" t="s">
        <v>31</v>
      </c>
      <c r="C25">
        <v>18</v>
      </c>
      <c r="D25" t="s">
        <v>78</v>
      </c>
      <c r="E25" s="3">
        <v>49</v>
      </c>
      <c r="F25" s="3">
        <v>39</v>
      </c>
      <c r="G25" s="3">
        <v>40</v>
      </c>
      <c r="H25" s="3">
        <v>69</v>
      </c>
      <c r="I25">
        <f t="shared" ca="1" si="7"/>
        <v>69</v>
      </c>
      <c r="J25" s="3">
        <v>7</v>
      </c>
      <c r="K25" s="3">
        <f t="shared" ca="1" si="0"/>
        <v>100</v>
      </c>
      <c r="L25" s="3">
        <f t="shared" ca="1" si="1"/>
        <v>45.5</v>
      </c>
      <c r="M25" s="3">
        <f t="shared" ca="1" si="2"/>
        <v>54.5</v>
      </c>
      <c r="N25">
        <v>3</v>
      </c>
      <c r="O25">
        <v>4</v>
      </c>
      <c r="P25">
        <f t="shared" ca="1" si="3"/>
        <v>25</v>
      </c>
      <c r="Q25" s="10">
        <v>18.946137984739199</v>
      </c>
      <c r="R25" s="10">
        <f t="shared" ca="1" si="4"/>
        <v>6.0538620152608011</v>
      </c>
      <c r="S25">
        <f t="shared" ca="1" si="5"/>
        <v>100</v>
      </c>
      <c r="T25">
        <v>20</v>
      </c>
      <c r="U25">
        <f t="shared" ca="1" si="6"/>
        <v>80</v>
      </c>
      <c r="V25">
        <v>0</v>
      </c>
      <c r="W25">
        <v>2</v>
      </c>
      <c r="X25">
        <v>1</v>
      </c>
      <c r="Y25">
        <v>0</v>
      </c>
      <c r="Z25">
        <v>0</v>
      </c>
      <c r="AA25">
        <v>0</v>
      </c>
      <c r="AB25">
        <v>1.7701318767799701</v>
      </c>
      <c r="AC25" t="s">
        <v>83</v>
      </c>
    </row>
    <row r="26" spans="1:29" x14ac:dyDescent="0.3">
      <c r="A26">
        <v>1025</v>
      </c>
      <c r="B26" t="s">
        <v>32</v>
      </c>
      <c r="C26">
        <v>18</v>
      </c>
      <c r="D26" t="s">
        <v>78</v>
      </c>
      <c r="E26" s="3">
        <v>41</v>
      </c>
      <c r="F26" s="3">
        <v>71</v>
      </c>
      <c r="G26" s="3">
        <v>14</v>
      </c>
      <c r="H26" s="3">
        <v>47</v>
      </c>
      <c r="I26">
        <f t="shared" ca="1" si="7"/>
        <v>94</v>
      </c>
      <c r="J26" s="3">
        <v>67</v>
      </c>
      <c r="K26" s="3">
        <f t="shared" ca="1" si="0"/>
        <v>100</v>
      </c>
      <c r="L26" s="3">
        <f t="shared" ca="1" si="1"/>
        <v>55.666666666666664</v>
      </c>
      <c r="M26" s="3">
        <f t="shared" ca="1" si="2"/>
        <v>44.333333333333336</v>
      </c>
      <c r="N26">
        <v>0</v>
      </c>
      <c r="O26">
        <v>1</v>
      </c>
      <c r="P26">
        <f t="shared" ca="1" si="3"/>
        <v>25</v>
      </c>
      <c r="Q26" s="10">
        <v>7.3803546482234497</v>
      </c>
      <c r="R26" s="10">
        <f t="shared" ca="1" si="4"/>
        <v>17.619645351776551</v>
      </c>
      <c r="S26">
        <f t="shared" ca="1" si="5"/>
        <v>100</v>
      </c>
      <c r="T26">
        <v>15</v>
      </c>
      <c r="U26">
        <f t="shared" ca="1" si="6"/>
        <v>85</v>
      </c>
      <c r="V26">
        <v>0</v>
      </c>
      <c r="W26">
        <v>2</v>
      </c>
      <c r="X26">
        <v>0</v>
      </c>
      <c r="Y26">
        <v>0</v>
      </c>
      <c r="Z26">
        <v>0</v>
      </c>
      <c r="AA26">
        <v>0</v>
      </c>
      <c r="AB26">
        <v>1.5051556220362801</v>
      </c>
      <c r="AC26" t="s">
        <v>83</v>
      </c>
    </row>
    <row r="27" spans="1:29" x14ac:dyDescent="0.3">
      <c r="A27">
        <v>1026</v>
      </c>
      <c r="B27" t="s">
        <v>33</v>
      </c>
      <c r="C27">
        <v>16</v>
      </c>
      <c r="D27" t="s">
        <v>78</v>
      </c>
      <c r="E27" s="3">
        <v>47</v>
      </c>
      <c r="F27" s="3">
        <v>83</v>
      </c>
      <c r="G27" s="3">
        <v>16</v>
      </c>
      <c r="H27" s="3">
        <v>0</v>
      </c>
      <c r="I27">
        <f t="shared" ca="1" si="7"/>
        <v>64</v>
      </c>
      <c r="J27" s="3">
        <v>80</v>
      </c>
      <c r="K27" s="3">
        <f t="shared" ca="1" si="0"/>
        <v>100</v>
      </c>
      <c r="L27" s="3">
        <f t="shared" ca="1" si="1"/>
        <v>48.333333333333336</v>
      </c>
      <c r="M27" s="3">
        <f t="shared" ca="1" si="2"/>
        <v>51.666666666666664</v>
      </c>
      <c r="N27">
        <v>0</v>
      </c>
      <c r="O27">
        <v>3</v>
      </c>
      <c r="P27">
        <f t="shared" ca="1" si="3"/>
        <v>25</v>
      </c>
      <c r="Q27" s="10">
        <v>2.7103374712150798</v>
      </c>
      <c r="R27" s="10">
        <f t="shared" ca="1" si="4"/>
        <v>22.28966252878492</v>
      </c>
      <c r="S27">
        <f t="shared" ca="1" si="5"/>
        <v>100</v>
      </c>
      <c r="T27">
        <v>5</v>
      </c>
      <c r="U27">
        <f t="shared" ca="1" si="6"/>
        <v>95</v>
      </c>
      <c r="V27">
        <v>0</v>
      </c>
      <c r="W27">
        <v>4</v>
      </c>
      <c r="X27">
        <v>0</v>
      </c>
      <c r="Y27">
        <v>0</v>
      </c>
      <c r="Z27">
        <v>1</v>
      </c>
      <c r="AA27">
        <v>0</v>
      </c>
      <c r="AB27">
        <v>2.9778519183157401</v>
      </c>
      <c r="AC27" t="s">
        <v>81</v>
      </c>
    </row>
    <row r="28" spans="1:29" x14ac:dyDescent="0.3">
      <c r="A28">
        <v>1027</v>
      </c>
      <c r="B28" t="s">
        <v>34</v>
      </c>
      <c r="C28">
        <v>16</v>
      </c>
      <c r="D28" t="s">
        <v>79</v>
      </c>
      <c r="E28" s="3">
        <v>24</v>
      </c>
      <c r="F28" s="3">
        <v>38</v>
      </c>
      <c r="G28" s="3">
        <v>31</v>
      </c>
      <c r="H28" s="3">
        <v>42</v>
      </c>
      <c r="I28">
        <f t="shared" ca="1" si="7"/>
        <v>39</v>
      </c>
      <c r="J28" s="3">
        <v>55</v>
      </c>
      <c r="K28" s="3">
        <f t="shared" ca="1" si="0"/>
        <v>100</v>
      </c>
      <c r="L28" s="3">
        <f t="shared" ca="1" si="1"/>
        <v>38.166666666666664</v>
      </c>
      <c r="M28" s="3">
        <f t="shared" ca="1" si="2"/>
        <v>61.833333333333336</v>
      </c>
      <c r="N28">
        <v>0</v>
      </c>
      <c r="O28">
        <v>1</v>
      </c>
      <c r="P28">
        <f t="shared" ca="1" si="3"/>
        <v>25</v>
      </c>
      <c r="Q28" s="10">
        <v>10.367992532661299</v>
      </c>
      <c r="R28" s="10">
        <f t="shared" ca="1" si="4"/>
        <v>14.632007467338701</v>
      </c>
      <c r="S28">
        <f t="shared" ca="1" si="5"/>
        <v>100</v>
      </c>
      <c r="T28">
        <v>2</v>
      </c>
      <c r="U28">
        <f t="shared" ca="1" si="6"/>
        <v>98</v>
      </c>
      <c r="V28">
        <v>0</v>
      </c>
      <c r="W28">
        <v>2</v>
      </c>
      <c r="X28">
        <v>0</v>
      </c>
      <c r="Y28">
        <v>1</v>
      </c>
      <c r="Z28">
        <v>0</v>
      </c>
      <c r="AA28">
        <v>0</v>
      </c>
      <c r="AB28">
        <v>2.9487176719119201</v>
      </c>
      <c r="AC28" t="s">
        <v>81</v>
      </c>
    </row>
    <row r="29" spans="1:29" x14ac:dyDescent="0.3">
      <c r="A29">
        <v>1028</v>
      </c>
      <c r="B29" t="s">
        <v>35</v>
      </c>
      <c r="C29">
        <v>16</v>
      </c>
      <c r="D29" t="s">
        <v>78</v>
      </c>
      <c r="E29" s="3">
        <v>33</v>
      </c>
      <c r="F29">
        <f ca="1">RANDBETWEEN(30,100)</f>
        <v>50</v>
      </c>
      <c r="G29" s="3">
        <v>72</v>
      </c>
      <c r="H29" s="3">
        <v>65</v>
      </c>
      <c r="I29">
        <f t="shared" ca="1" si="7"/>
        <v>94</v>
      </c>
      <c r="J29" s="3">
        <v>83</v>
      </c>
      <c r="K29" s="3">
        <f t="shared" ca="1" si="0"/>
        <v>100</v>
      </c>
      <c r="L29" s="3">
        <f t="shared" ca="1" si="1"/>
        <v>66.166666666666671</v>
      </c>
      <c r="M29" s="3">
        <f t="shared" ca="1" si="2"/>
        <v>33.833333333333329</v>
      </c>
      <c r="N29">
        <v>0</v>
      </c>
      <c r="O29">
        <v>3</v>
      </c>
      <c r="P29">
        <f t="shared" ca="1" si="3"/>
        <v>25</v>
      </c>
      <c r="Q29" s="10">
        <v>2.2521845869844102</v>
      </c>
      <c r="R29" s="10">
        <f t="shared" ca="1" si="4"/>
        <v>22.747815413015591</v>
      </c>
      <c r="S29">
        <f t="shared" ca="1" si="5"/>
        <v>100</v>
      </c>
      <c r="T29">
        <v>8</v>
      </c>
      <c r="U29">
        <f t="shared" ca="1" si="6"/>
        <v>92</v>
      </c>
      <c r="V29">
        <v>0</v>
      </c>
      <c r="W29">
        <v>3</v>
      </c>
      <c r="X29">
        <v>0</v>
      </c>
      <c r="Y29">
        <v>0</v>
      </c>
      <c r="Z29">
        <v>1</v>
      </c>
      <c r="AA29">
        <v>0</v>
      </c>
      <c r="AB29">
        <v>2.14520472046719</v>
      </c>
      <c r="AC29" t="s">
        <v>82</v>
      </c>
    </row>
    <row r="30" spans="1:29" x14ac:dyDescent="0.3">
      <c r="A30">
        <v>1029</v>
      </c>
      <c r="B30" t="s">
        <v>36</v>
      </c>
      <c r="C30">
        <v>18</v>
      </c>
      <c r="D30" t="s">
        <v>79</v>
      </c>
      <c r="E30" s="3">
        <v>45</v>
      </c>
      <c r="F30">
        <f t="shared" ref="F30:F40" ca="1" si="8">RANDBETWEEN(30,100)</f>
        <v>47</v>
      </c>
      <c r="G30" s="3">
        <v>48</v>
      </c>
      <c r="H30" s="3">
        <v>42</v>
      </c>
      <c r="I30">
        <f t="shared" ca="1" si="7"/>
        <v>54</v>
      </c>
      <c r="J30" s="3">
        <v>67</v>
      </c>
      <c r="K30" s="3">
        <f t="shared" ca="1" si="0"/>
        <v>100</v>
      </c>
      <c r="L30" s="3">
        <f t="shared" ca="1" si="1"/>
        <v>50.5</v>
      </c>
      <c r="M30" s="3">
        <f t="shared" ca="1" si="2"/>
        <v>49.5</v>
      </c>
      <c r="N30">
        <v>0</v>
      </c>
      <c r="O30">
        <v>0</v>
      </c>
      <c r="P30">
        <f t="shared" ca="1" si="3"/>
        <v>25</v>
      </c>
      <c r="Q30" s="10">
        <v>18.679748370252302</v>
      </c>
      <c r="R30" s="10">
        <f t="shared" ca="1" si="4"/>
        <v>6.3202516297476983</v>
      </c>
      <c r="S30">
        <f t="shared" ca="1" si="5"/>
        <v>100</v>
      </c>
      <c r="T30">
        <v>10</v>
      </c>
      <c r="U30">
        <f t="shared" ca="1" si="6"/>
        <v>90</v>
      </c>
      <c r="V30">
        <v>0</v>
      </c>
      <c r="W30">
        <v>3</v>
      </c>
      <c r="X30">
        <v>1</v>
      </c>
      <c r="Y30">
        <v>0</v>
      </c>
      <c r="Z30">
        <v>0</v>
      </c>
      <c r="AA30">
        <v>0</v>
      </c>
      <c r="AB30">
        <v>2.8548039289813101</v>
      </c>
      <c r="AC30" t="s">
        <v>81</v>
      </c>
    </row>
    <row r="31" spans="1:29" x14ac:dyDescent="0.3">
      <c r="A31">
        <v>1030</v>
      </c>
      <c r="B31" t="s">
        <v>37</v>
      </c>
      <c r="C31">
        <v>18</v>
      </c>
      <c r="D31" t="s">
        <v>79</v>
      </c>
      <c r="E31" s="3">
        <v>41</v>
      </c>
      <c r="F31">
        <f t="shared" ca="1" si="8"/>
        <v>96</v>
      </c>
      <c r="G31" s="3">
        <v>53</v>
      </c>
      <c r="H31" s="3">
        <v>32</v>
      </c>
      <c r="I31">
        <f t="shared" ca="1" si="7"/>
        <v>92</v>
      </c>
      <c r="J31" s="3">
        <v>27</v>
      </c>
      <c r="K31" s="3">
        <f t="shared" ca="1" si="0"/>
        <v>100</v>
      </c>
      <c r="L31" s="3">
        <f t="shared" ca="1" si="1"/>
        <v>56.833333333333336</v>
      </c>
      <c r="M31" s="3">
        <f t="shared" ca="1" si="2"/>
        <v>43.166666666666664</v>
      </c>
      <c r="N31">
        <v>0</v>
      </c>
      <c r="O31">
        <v>2</v>
      </c>
      <c r="P31">
        <f t="shared" ca="1" si="3"/>
        <v>25</v>
      </c>
      <c r="Q31" s="10">
        <v>3.6715925471029198</v>
      </c>
      <c r="R31" s="10">
        <f t="shared" ca="1" si="4"/>
        <v>21.328407452897082</v>
      </c>
      <c r="S31">
        <f t="shared" ca="1" si="5"/>
        <v>100</v>
      </c>
      <c r="T31">
        <v>20</v>
      </c>
      <c r="U31">
        <f t="shared" ca="1" si="6"/>
        <v>80</v>
      </c>
      <c r="V31">
        <v>0</v>
      </c>
      <c r="W31">
        <v>3</v>
      </c>
      <c r="X31">
        <v>1</v>
      </c>
      <c r="Y31">
        <v>0</v>
      </c>
      <c r="Z31">
        <v>0</v>
      </c>
      <c r="AA31">
        <v>0</v>
      </c>
      <c r="AB31">
        <v>1.51944172581513</v>
      </c>
      <c r="AC31" t="s">
        <v>83</v>
      </c>
    </row>
    <row r="32" spans="1:29" x14ac:dyDescent="0.3">
      <c r="A32">
        <v>1031</v>
      </c>
      <c r="B32" t="s">
        <v>38</v>
      </c>
      <c r="C32">
        <v>15</v>
      </c>
      <c r="D32" t="s">
        <v>79</v>
      </c>
      <c r="E32" s="3">
        <v>78</v>
      </c>
      <c r="F32">
        <f t="shared" ca="1" si="8"/>
        <v>61</v>
      </c>
      <c r="G32" s="3">
        <v>67</v>
      </c>
      <c r="H32" s="3">
        <v>33</v>
      </c>
      <c r="I32">
        <f t="shared" ca="1" si="7"/>
        <v>71</v>
      </c>
      <c r="J32" s="3">
        <v>94</v>
      </c>
      <c r="K32" s="3">
        <f t="shared" ca="1" si="0"/>
        <v>100</v>
      </c>
      <c r="L32" s="3">
        <f t="shared" ca="1" si="1"/>
        <v>67.333333333333329</v>
      </c>
      <c r="M32" s="3">
        <f t="shared" ca="1" si="2"/>
        <v>32.666666666666671</v>
      </c>
      <c r="N32">
        <v>2</v>
      </c>
      <c r="O32">
        <v>2</v>
      </c>
      <c r="P32">
        <f t="shared" ca="1" si="3"/>
        <v>25</v>
      </c>
      <c r="Q32" s="10">
        <v>5.0553171990232801</v>
      </c>
      <c r="R32" s="10">
        <f t="shared" ca="1" si="4"/>
        <v>19.944682800976722</v>
      </c>
      <c r="S32">
        <f t="shared" ca="1" si="5"/>
        <v>100</v>
      </c>
      <c r="T32">
        <v>12</v>
      </c>
      <c r="U32">
        <f t="shared" ca="1" si="6"/>
        <v>88</v>
      </c>
      <c r="V32">
        <v>1</v>
      </c>
      <c r="W32">
        <v>0</v>
      </c>
      <c r="X32">
        <v>0</v>
      </c>
      <c r="Y32">
        <v>1</v>
      </c>
      <c r="Z32">
        <v>0</v>
      </c>
      <c r="AA32">
        <v>0</v>
      </c>
      <c r="AB32">
        <v>1.7271203095223999</v>
      </c>
      <c r="AC32" t="s">
        <v>83</v>
      </c>
    </row>
    <row r="33" spans="1:29" x14ac:dyDescent="0.3">
      <c r="A33">
        <v>1032</v>
      </c>
      <c r="B33" t="s">
        <v>39</v>
      </c>
      <c r="C33">
        <v>15</v>
      </c>
      <c r="D33" t="s">
        <v>79</v>
      </c>
      <c r="E33" s="3">
        <v>25</v>
      </c>
      <c r="F33">
        <f t="shared" ca="1" si="8"/>
        <v>74</v>
      </c>
      <c r="G33" s="3">
        <v>23</v>
      </c>
      <c r="H33" s="3">
        <v>4</v>
      </c>
      <c r="I33">
        <f t="shared" ca="1" si="7"/>
        <v>86</v>
      </c>
      <c r="J33" s="3">
        <v>96</v>
      </c>
      <c r="K33" s="3">
        <f t="shared" ca="1" si="0"/>
        <v>100</v>
      </c>
      <c r="L33" s="3">
        <f t="shared" ca="1" si="1"/>
        <v>51.333333333333336</v>
      </c>
      <c r="M33" s="3">
        <f t="shared" ca="1" si="2"/>
        <v>48.666666666666664</v>
      </c>
      <c r="N33">
        <v>0</v>
      </c>
      <c r="O33">
        <v>3</v>
      </c>
      <c r="P33">
        <f t="shared" ca="1" si="3"/>
        <v>25</v>
      </c>
      <c r="Q33" s="10">
        <v>8.1327305376994001</v>
      </c>
      <c r="R33" s="10">
        <f t="shared" ca="1" si="4"/>
        <v>16.867269462300598</v>
      </c>
      <c r="S33">
        <f t="shared" ca="1" si="5"/>
        <v>100</v>
      </c>
      <c r="T33">
        <v>17</v>
      </c>
      <c r="U33">
        <f t="shared" ca="1" si="6"/>
        <v>83</v>
      </c>
      <c r="V33">
        <v>0</v>
      </c>
      <c r="W33">
        <v>4</v>
      </c>
      <c r="X33">
        <v>0</v>
      </c>
      <c r="Y33">
        <v>0</v>
      </c>
      <c r="Z33">
        <v>0</v>
      </c>
      <c r="AA33">
        <v>1</v>
      </c>
      <c r="AB33">
        <v>1.8475354711387899</v>
      </c>
      <c r="AC33" t="s">
        <v>83</v>
      </c>
    </row>
    <row r="34" spans="1:29" x14ac:dyDescent="0.3">
      <c r="A34">
        <v>1033</v>
      </c>
      <c r="B34" t="s">
        <v>40</v>
      </c>
      <c r="C34">
        <v>18</v>
      </c>
      <c r="D34" t="s">
        <v>79</v>
      </c>
      <c r="E34" s="3">
        <v>44</v>
      </c>
      <c r="F34">
        <f t="shared" ca="1" si="8"/>
        <v>71</v>
      </c>
      <c r="G34" s="3">
        <v>90</v>
      </c>
      <c r="H34" s="3">
        <v>27</v>
      </c>
      <c r="I34">
        <f t="shared" ca="1" si="7"/>
        <v>78</v>
      </c>
      <c r="J34" s="3">
        <v>99</v>
      </c>
      <c r="K34" s="3">
        <f t="shared" ca="1" si="0"/>
        <v>100</v>
      </c>
      <c r="L34" s="3">
        <f t="shared" ca="1" si="1"/>
        <v>68.166666666666671</v>
      </c>
      <c r="M34" s="3">
        <f t="shared" ca="1" si="2"/>
        <v>31.833333333333329</v>
      </c>
      <c r="N34">
        <v>0</v>
      </c>
      <c r="O34">
        <v>3</v>
      </c>
      <c r="P34">
        <f t="shared" ca="1" si="3"/>
        <v>25</v>
      </c>
      <c r="Q34" s="10">
        <v>7.6632893711825103</v>
      </c>
      <c r="R34" s="10">
        <f t="shared" ca="1" si="4"/>
        <v>17.336710628817489</v>
      </c>
      <c r="S34">
        <f t="shared" ca="1" si="5"/>
        <v>100</v>
      </c>
      <c r="T34">
        <v>25</v>
      </c>
      <c r="U34">
        <f t="shared" ca="1" si="6"/>
        <v>75</v>
      </c>
      <c r="V34">
        <v>0</v>
      </c>
      <c r="W34">
        <v>1</v>
      </c>
      <c r="X34">
        <v>0</v>
      </c>
      <c r="Y34">
        <v>1</v>
      </c>
      <c r="Z34">
        <v>0</v>
      </c>
      <c r="AA34">
        <v>0</v>
      </c>
      <c r="AB34">
        <v>0.38461697285648699</v>
      </c>
      <c r="AC34" t="s">
        <v>83</v>
      </c>
    </row>
    <row r="35" spans="1:29" x14ac:dyDescent="0.3">
      <c r="A35">
        <v>1034</v>
      </c>
      <c r="B35" t="s">
        <v>41</v>
      </c>
      <c r="C35">
        <v>16</v>
      </c>
      <c r="D35" t="s">
        <v>79</v>
      </c>
      <c r="E35" s="3">
        <v>86</v>
      </c>
      <c r="F35">
        <f t="shared" ca="1" si="8"/>
        <v>31</v>
      </c>
      <c r="G35" s="3">
        <v>87</v>
      </c>
      <c r="H35" s="3">
        <v>56</v>
      </c>
      <c r="I35">
        <f t="shared" ca="1" si="7"/>
        <v>76</v>
      </c>
      <c r="J35" s="3">
        <v>64</v>
      </c>
      <c r="K35" s="3">
        <f t="shared" ca="1" si="0"/>
        <v>100</v>
      </c>
      <c r="L35" s="3">
        <f t="shared" ca="1" si="1"/>
        <v>66.666666666666671</v>
      </c>
      <c r="M35" s="3">
        <f t="shared" ca="1" si="2"/>
        <v>33.333333333333329</v>
      </c>
      <c r="N35">
        <v>3</v>
      </c>
      <c r="O35">
        <v>3</v>
      </c>
      <c r="P35">
        <f t="shared" ca="1" si="3"/>
        <v>25</v>
      </c>
      <c r="Q35" s="10">
        <v>15.893257847957701</v>
      </c>
      <c r="R35" s="10">
        <f t="shared" ca="1" si="4"/>
        <v>9.1067421520422993</v>
      </c>
      <c r="S35">
        <f t="shared" ca="1" si="5"/>
        <v>100</v>
      </c>
      <c r="T35">
        <v>21</v>
      </c>
      <c r="U35">
        <f t="shared" ca="1" si="6"/>
        <v>79</v>
      </c>
      <c r="V35">
        <v>0</v>
      </c>
      <c r="W35">
        <v>0</v>
      </c>
      <c r="X35">
        <v>1</v>
      </c>
      <c r="Y35">
        <v>1</v>
      </c>
      <c r="Z35">
        <v>0</v>
      </c>
      <c r="AA35">
        <v>0</v>
      </c>
      <c r="AB35">
        <v>0.94940609779728002</v>
      </c>
      <c r="AC35" t="s">
        <v>83</v>
      </c>
    </row>
    <row r="36" spans="1:29" x14ac:dyDescent="0.3">
      <c r="A36">
        <v>1035</v>
      </c>
      <c r="B36" t="s">
        <v>42</v>
      </c>
      <c r="C36">
        <v>16</v>
      </c>
      <c r="D36" t="s">
        <v>79</v>
      </c>
      <c r="E36" s="3">
        <v>97</v>
      </c>
      <c r="F36">
        <f t="shared" ca="1" si="8"/>
        <v>55</v>
      </c>
      <c r="G36" s="3">
        <v>40</v>
      </c>
      <c r="H36" s="3">
        <v>36</v>
      </c>
      <c r="I36">
        <f t="shared" ca="1" si="7"/>
        <v>99</v>
      </c>
      <c r="J36" s="3">
        <v>52</v>
      </c>
      <c r="K36" s="3">
        <f t="shared" ca="1" si="0"/>
        <v>100</v>
      </c>
      <c r="L36" s="3">
        <f t="shared" ca="1" si="1"/>
        <v>63.166666666666664</v>
      </c>
      <c r="M36" s="3">
        <f t="shared" ca="1" si="2"/>
        <v>36.833333333333336</v>
      </c>
      <c r="N36">
        <v>0</v>
      </c>
      <c r="O36">
        <v>3</v>
      </c>
      <c r="P36">
        <f t="shared" ca="1" si="3"/>
        <v>25</v>
      </c>
      <c r="Q36" s="10">
        <v>9.1263364110192402</v>
      </c>
      <c r="R36" s="10">
        <f t="shared" ca="1" si="4"/>
        <v>15.87366358898076</v>
      </c>
      <c r="S36">
        <f t="shared" ca="1" si="5"/>
        <v>100</v>
      </c>
      <c r="T36">
        <v>27</v>
      </c>
      <c r="U36">
        <f t="shared" ca="1" si="6"/>
        <v>73</v>
      </c>
      <c r="V36">
        <v>1</v>
      </c>
      <c r="W36">
        <v>2</v>
      </c>
      <c r="X36">
        <v>1</v>
      </c>
      <c r="Y36">
        <v>1</v>
      </c>
      <c r="Z36">
        <v>0</v>
      </c>
      <c r="AA36">
        <v>0</v>
      </c>
      <c r="AB36">
        <v>1.14095941842033</v>
      </c>
      <c r="AC36" t="s">
        <v>83</v>
      </c>
    </row>
    <row r="37" spans="1:29" x14ac:dyDescent="0.3">
      <c r="A37">
        <v>1036</v>
      </c>
      <c r="B37" t="s">
        <v>43</v>
      </c>
      <c r="C37">
        <v>15</v>
      </c>
      <c r="D37" t="s">
        <v>79</v>
      </c>
      <c r="E37" s="3">
        <v>35</v>
      </c>
      <c r="F37">
        <f t="shared" ca="1" si="8"/>
        <v>55</v>
      </c>
      <c r="G37" s="3">
        <v>26</v>
      </c>
      <c r="H37" s="3">
        <v>51</v>
      </c>
      <c r="I37">
        <f t="shared" ca="1" si="7"/>
        <v>59</v>
      </c>
      <c r="J37" s="3">
        <v>16</v>
      </c>
      <c r="K37" s="3">
        <f t="shared" ca="1" si="0"/>
        <v>100</v>
      </c>
      <c r="L37" s="3">
        <f t="shared" ca="1" si="1"/>
        <v>40.333333333333336</v>
      </c>
      <c r="M37" s="3">
        <f t="shared" ca="1" si="2"/>
        <v>59.666666666666664</v>
      </c>
      <c r="N37">
        <v>3</v>
      </c>
      <c r="O37">
        <v>1</v>
      </c>
      <c r="P37">
        <f t="shared" ca="1" si="3"/>
        <v>25</v>
      </c>
      <c r="Q37" s="10">
        <v>3.4153652000667298</v>
      </c>
      <c r="R37" s="10">
        <f t="shared" ca="1" si="4"/>
        <v>21.584634799933269</v>
      </c>
      <c r="S37">
        <f t="shared" ca="1" si="5"/>
        <v>100</v>
      </c>
      <c r="T37">
        <v>23</v>
      </c>
      <c r="U37">
        <f t="shared" ca="1" si="6"/>
        <v>77</v>
      </c>
      <c r="V37">
        <v>0</v>
      </c>
      <c r="W37">
        <v>1</v>
      </c>
      <c r="X37">
        <v>0</v>
      </c>
      <c r="Y37">
        <v>0</v>
      </c>
      <c r="Z37">
        <v>0</v>
      </c>
      <c r="AA37">
        <v>0</v>
      </c>
      <c r="AB37">
        <v>0.26147226005075203</v>
      </c>
      <c r="AC37" t="s">
        <v>83</v>
      </c>
    </row>
    <row r="38" spans="1:29" x14ac:dyDescent="0.3">
      <c r="A38">
        <v>1037</v>
      </c>
      <c r="B38" t="s">
        <v>44</v>
      </c>
      <c r="C38">
        <v>18</v>
      </c>
      <c r="D38" t="s">
        <v>79</v>
      </c>
      <c r="E38" s="3">
        <v>75</v>
      </c>
      <c r="F38">
        <f t="shared" ca="1" si="8"/>
        <v>36</v>
      </c>
      <c r="G38" s="3">
        <v>51</v>
      </c>
      <c r="H38" s="3">
        <v>71</v>
      </c>
      <c r="I38">
        <f t="shared" ca="1" si="7"/>
        <v>52</v>
      </c>
      <c r="J38" s="3">
        <v>34</v>
      </c>
      <c r="K38" s="3">
        <f t="shared" ca="1" si="0"/>
        <v>100</v>
      </c>
      <c r="L38" s="3">
        <f t="shared" ca="1" si="1"/>
        <v>53.166666666666664</v>
      </c>
      <c r="M38" s="3">
        <f t="shared" ca="1" si="2"/>
        <v>46.833333333333336</v>
      </c>
      <c r="N38">
        <v>0</v>
      </c>
      <c r="O38">
        <v>1</v>
      </c>
      <c r="P38">
        <f t="shared" ca="1" si="3"/>
        <v>25</v>
      </c>
      <c r="Q38" s="10">
        <v>5.3441979097214798</v>
      </c>
      <c r="R38" s="10">
        <f t="shared" ca="1" si="4"/>
        <v>19.65580209027852</v>
      </c>
      <c r="S38">
        <f t="shared" ca="1" si="5"/>
        <v>100</v>
      </c>
      <c r="T38">
        <v>26</v>
      </c>
      <c r="U38">
        <f t="shared" ca="1" si="6"/>
        <v>74</v>
      </c>
      <c r="V38">
        <v>1</v>
      </c>
      <c r="W38">
        <v>1</v>
      </c>
      <c r="X38">
        <v>0</v>
      </c>
      <c r="Y38">
        <v>0</v>
      </c>
      <c r="Z38">
        <v>0</v>
      </c>
      <c r="AA38">
        <v>0</v>
      </c>
      <c r="AB38">
        <v>0.21828485682103099</v>
      </c>
      <c r="AC38" t="s">
        <v>83</v>
      </c>
    </row>
    <row r="39" spans="1:29" x14ac:dyDescent="0.3">
      <c r="A39">
        <v>1038</v>
      </c>
      <c r="B39" t="s">
        <v>45</v>
      </c>
      <c r="C39">
        <v>15</v>
      </c>
      <c r="D39" t="s">
        <v>79</v>
      </c>
      <c r="E39" s="3">
        <v>48</v>
      </c>
      <c r="F39">
        <f t="shared" ca="1" si="8"/>
        <v>32</v>
      </c>
      <c r="G39" s="3">
        <v>56</v>
      </c>
      <c r="H39" s="3">
        <v>52</v>
      </c>
      <c r="I39">
        <f t="shared" ca="1" si="7"/>
        <v>49</v>
      </c>
      <c r="J39" s="3">
        <v>76</v>
      </c>
      <c r="K39" s="3">
        <f t="shared" ca="1" si="0"/>
        <v>100</v>
      </c>
      <c r="L39" s="3">
        <f t="shared" ca="1" si="1"/>
        <v>52.166666666666664</v>
      </c>
      <c r="M39" s="3">
        <f t="shared" ca="1" si="2"/>
        <v>47.833333333333336</v>
      </c>
      <c r="N39">
        <v>2</v>
      </c>
      <c r="O39">
        <v>1</v>
      </c>
      <c r="P39">
        <f t="shared" ca="1" si="3"/>
        <v>25</v>
      </c>
      <c r="Q39" s="10">
        <v>10.1822677037504</v>
      </c>
      <c r="R39" s="10">
        <f t="shared" ca="1" si="4"/>
        <v>14.8177322962496</v>
      </c>
      <c r="S39">
        <f t="shared" ca="1" si="5"/>
        <v>100</v>
      </c>
      <c r="T39">
        <v>21</v>
      </c>
      <c r="U39">
        <f t="shared" ca="1" si="6"/>
        <v>79</v>
      </c>
      <c r="V39">
        <v>1</v>
      </c>
      <c r="W39">
        <v>1</v>
      </c>
      <c r="X39">
        <v>0</v>
      </c>
      <c r="Y39">
        <v>1</v>
      </c>
      <c r="Z39">
        <v>0</v>
      </c>
      <c r="AA39">
        <v>0</v>
      </c>
      <c r="AB39">
        <v>1.0677635510419701</v>
      </c>
      <c r="AC39" t="s">
        <v>83</v>
      </c>
    </row>
    <row r="40" spans="1:29" x14ac:dyDescent="0.3">
      <c r="A40">
        <v>1039</v>
      </c>
      <c r="B40" t="s">
        <v>56</v>
      </c>
      <c r="C40">
        <v>15</v>
      </c>
      <c r="D40" t="s">
        <v>78</v>
      </c>
      <c r="E40" s="3">
        <v>57</v>
      </c>
      <c r="F40">
        <f t="shared" ca="1" si="8"/>
        <v>99</v>
      </c>
      <c r="G40" s="3">
        <v>56</v>
      </c>
      <c r="H40" s="3">
        <v>67</v>
      </c>
      <c r="I40">
        <f t="shared" ca="1" si="7"/>
        <v>98</v>
      </c>
      <c r="J40" s="3">
        <v>96</v>
      </c>
      <c r="K40" s="3">
        <f t="shared" ca="1" si="0"/>
        <v>100</v>
      </c>
      <c r="L40" s="3">
        <f t="shared" ca="1" si="1"/>
        <v>78.833333333333329</v>
      </c>
      <c r="M40" s="3">
        <f t="shared" ca="1" si="2"/>
        <v>21.166666666666671</v>
      </c>
      <c r="N40">
        <v>1</v>
      </c>
      <c r="O40">
        <v>1</v>
      </c>
      <c r="P40">
        <f t="shared" ca="1" si="3"/>
        <v>25</v>
      </c>
      <c r="Q40" s="10">
        <v>2.9490783485226899</v>
      </c>
      <c r="R40" s="10">
        <f t="shared" ca="1" si="4"/>
        <v>22.05092165147731</v>
      </c>
      <c r="S40">
        <f t="shared" ca="1" si="5"/>
        <v>100</v>
      </c>
      <c r="T40">
        <v>3</v>
      </c>
      <c r="U40">
        <f t="shared" ca="1" si="6"/>
        <v>97</v>
      </c>
      <c r="V40">
        <v>1</v>
      </c>
      <c r="W40">
        <v>1</v>
      </c>
      <c r="X40">
        <v>1</v>
      </c>
      <c r="Y40">
        <v>1</v>
      </c>
      <c r="Z40">
        <v>0</v>
      </c>
      <c r="AA40">
        <v>0</v>
      </c>
      <c r="AB40">
        <v>3.01890585842796</v>
      </c>
      <c r="AC40" t="s">
        <v>80</v>
      </c>
    </row>
  </sheetData>
  <autoFilter ref="B1:AC1" xr:uid="{0E438898-BD4A-4D69-AD11-16BF270C0729}"/>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63A0C-825B-429A-BB86-DE2F55B8F17F}">
  <dimension ref="A1:G206"/>
  <sheetViews>
    <sheetView workbookViewId="0">
      <selection activeCell="F96" sqref="F96"/>
    </sheetView>
  </sheetViews>
  <sheetFormatPr defaultRowHeight="14.4" x14ac:dyDescent="0.3"/>
  <cols>
    <col min="1" max="1" width="11.33203125" customWidth="1"/>
    <col min="2" max="2" width="15.44140625" bestFit="1" customWidth="1"/>
    <col min="3" max="3" width="12.6640625" customWidth="1"/>
    <col min="4" max="4" width="11.6640625" customWidth="1"/>
    <col min="5" max="5" width="13.109375" customWidth="1"/>
    <col min="6" max="6" width="19.88671875" customWidth="1"/>
    <col min="7" max="7" width="18.5546875" bestFit="1" customWidth="1"/>
  </cols>
  <sheetData>
    <row r="1" spans="1:7" x14ac:dyDescent="0.3">
      <c r="A1" s="5" t="s">
        <v>0</v>
      </c>
      <c r="B1" s="1" t="s">
        <v>1</v>
      </c>
      <c r="C1" s="1" t="s">
        <v>2</v>
      </c>
      <c r="D1" s="1" t="s">
        <v>3</v>
      </c>
      <c r="E1" s="1" t="s">
        <v>4</v>
      </c>
      <c r="F1" s="2" t="s">
        <v>5</v>
      </c>
      <c r="G1" s="1" t="s">
        <v>61</v>
      </c>
    </row>
    <row r="2" spans="1:7" x14ac:dyDescent="0.3">
      <c r="A2">
        <v>1001</v>
      </c>
      <c r="B2" t="s">
        <v>6</v>
      </c>
      <c r="C2" t="s">
        <v>7</v>
      </c>
      <c r="D2" t="s">
        <v>8</v>
      </c>
      <c r="E2" s="3">
        <v>31</v>
      </c>
      <c r="F2">
        <f>IF(E2&gt;=60,1,0)</f>
        <v>0</v>
      </c>
      <c r="G2">
        <v>19.833722807854699</v>
      </c>
    </row>
    <row r="3" spans="1:7" x14ac:dyDescent="0.3">
      <c r="A3">
        <v>1002</v>
      </c>
      <c r="B3" t="s">
        <v>9</v>
      </c>
      <c r="C3" t="s">
        <v>7</v>
      </c>
      <c r="D3" t="s">
        <v>8</v>
      </c>
      <c r="E3" s="3">
        <v>43</v>
      </c>
      <c r="F3">
        <f t="shared" ref="F3:F39" si="0">IF(E3&gt;=60,1,0)</f>
        <v>0</v>
      </c>
      <c r="G3">
        <v>15.4087560558467</v>
      </c>
    </row>
    <row r="4" spans="1:7" x14ac:dyDescent="0.3">
      <c r="A4">
        <v>1003</v>
      </c>
      <c r="B4" t="s">
        <v>10</v>
      </c>
      <c r="C4" t="s">
        <v>7</v>
      </c>
      <c r="D4" t="s">
        <v>8</v>
      </c>
      <c r="E4" s="3">
        <v>81</v>
      </c>
      <c r="F4">
        <f t="shared" si="0"/>
        <v>1</v>
      </c>
      <c r="G4">
        <v>4.2105697688122596</v>
      </c>
    </row>
    <row r="5" spans="1:7" x14ac:dyDescent="0.3">
      <c r="A5">
        <v>1004</v>
      </c>
      <c r="B5" t="s">
        <v>11</v>
      </c>
      <c r="C5" t="s">
        <v>7</v>
      </c>
      <c r="D5" t="s">
        <v>8</v>
      </c>
      <c r="E5" s="3">
        <v>11</v>
      </c>
      <c r="F5">
        <f t="shared" si="0"/>
        <v>0</v>
      </c>
      <c r="G5">
        <v>10.028829473958201</v>
      </c>
    </row>
    <row r="6" spans="1:7" x14ac:dyDescent="0.3">
      <c r="A6">
        <v>1005</v>
      </c>
      <c r="B6" t="s">
        <v>12</v>
      </c>
      <c r="C6" t="s">
        <v>7</v>
      </c>
      <c r="D6" t="s">
        <v>8</v>
      </c>
      <c r="E6" s="3">
        <v>18</v>
      </c>
      <c r="F6">
        <f t="shared" si="0"/>
        <v>0</v>
      </c>
      <c r="G6">
        <v>4.6724952729713296</v>
      </c>
    </row>
    <row r="7" spans="1:7" x14ac:dyDescent="0.3">
      <c r="A7">
        <v>1006</v>
      </c>
      <c r="B7" t="s">
        <v>13</v>
      </c>
      <c r="C7" t="s">
        <v>7</v>
      </c>
      <c r="D7" t="s">
        <v>8</v>
      </c>
      <c r="E7" s="3">
        <v>55</v>
      </c>
      <c r="F7">
        <f t="shared" si="0"/>
        <v>0</v>
      </c>
      <c r="G7">
        <v>8.1912185452501802</v>
      </c>
    </row>
    <row r="8" spans="1:7" x14ac:dyDescent="0.3">
      <c r="A8">
        <v>1007</v>
      </c>
      <c r="B8" t="s">
        <v>14</v>
      </c>
      <c r="C8" t="s">
        <v>7</v>
      </c>
      <c r="D8" t="s">
        <v>8</v>
      </c>
      <c r="E8" s="3">
        <v>38</v>
      </c>
      <c r="F8">
        <f t="shared" si="0"/>
        <v>0</v>
      </c>
      <c r="G8">
        <v>15.601680474699201</v>
      </c>
    </row>
    <row r="9" spans="1:7" x14ac:dyDescent="0.3">
      <c r="A9">
        <v>1008</v>
      </c>
      <c r="B9" t="s">
        <v>15</v>
      </c>
      <c r="C9" t="s">
        <v>7</v>
      </c>
      <c r="D9" t="s">
        <v>8</v>
      </c>
      <c r="E9" s="3">
        <v>16</v>
      </c>
      <c r="F9">
        <f t="shared" si="0"/>
        <v>0</v>
      </c>
      <c r="G9">
        <v>15.424496305808001</v>
      </c>
    </row>
    <row r="10" spans="1:7" x14ac:dyDescent="0.3">
      <c r="A10">
        <v>1009</v>
      </c>
      <c r="B10" t="s">
        <v>16</v>
      </c>
      <c r="C10" t="s">
        <v>7</v>
      </c>
      <c r="D10" t="s">
        <v>8</v>
      </c>
      <c r="E10" s="3">
        <v>73</v>
      </c>
      <c r="F10">
        <f t="shared" si="0"/>
        <v>1</v>
      </c>
      <c r="G10">
        <v>4.5620075580477</v>
      </c>
    </row>
    <row r="11" spans="1:7" x14ac:dyDescent="0.3">
      <c r="A11">
        <v>1010</v>
      </c>
      <c r="B11" t="s">
        <v>17</v>
      </c>
      <c r="C11" t="s">
        <v>7</v>
      </c>
      <c r="D11" t="s">
        <v>8</v>
      </c>
      <c r="E11" s="3">
        <v>16</v>
      </c>
      <c r="F11">
        <f t="shared" si="0"/>
        <v>0</v>
      </c>
      <c r="G11">
        <v>18.444466363097199</v>
      </c>
    </row>
    <row r="12" spans="1:7" x14ac:dyDescent="0.3">
      <c r="A12">
        <v>1011</v>
      </c>
      <c r="B12" t="s">
        <v>18</v>
      </c>
      <c r="C12" t="s">
        <v>7</v>
      </c>
      <c r="D12" t="s">
        <v>8</v>
      </c>
      <c r="E12" s="3">
        <v>23</v>
      </c>
      <c r="F12">
        <f t="shared" si="0"/>
        <v>0</v>
      </c>
      <c r="G12">
        <v>11.851363655296501</v>
      </c>
    </row>
    <row r="13" spans="1:7" x14ac:dyDescent="0.3">
      <c r="A13">
        <v>1012</v>
      </c>
      <c r="B13" t="s">
        <v>19</v>
      </c>
      <c r="C13" t="s">
        <v>7</v>
      </c>
      <c r="D13" t="s">
        <v>8</v>
      </c>
      <c r="E13" s="3">
        <v>55</v>
      </c>
      <c r="F13">
        <f t="shared" si="0"/>
        <v>0</v>
      </c>
      <c r="G13">
        <v>7.59848581924029</v>
      </c>
    </row>
    <row r="14" spans="1:7" x14ac:dyDescent="0.3">
      <c r="A14">
        <v>1013</v>
      </c>
      <c r="B14" t="s">
        <v>20</v>
      </c>
      <c r="C14" t="s">
        <v>7</v>
      </c>
      <c r="D14" t="s">
        <v>8</v>
      </c>
      <c r="E14" s="3">
        <v>71</v>
      </c>
      <c r="F14">
        <f t="shared" si="0"/>
        <v>1</v>
      </c>
      <c r="G14">
        <v>10.038711615617199</v>
      </c>
    </row>
    <row r="15" spans="1:7" x14ac:dyDescent="0.3">
      <c r="A15">
        <v>1014</v>
      </c>
      <c r="B15" t="s">
        <v>21</v>
      </c>
      <c r="C15" s="4" t="s">
        <v>7</v>
      </c>
      <c r="D15" t="s">
        <v>8</v>
      </c>
      <c r="E15" s="3">
        <v>12</v>
      </c>
      <c r="F15">
        <f t="shared" si="0"/>
        <v>0</v>
      </c>
      <c r="G15">
        <v>12.1014250687548</v>
      </c>
    </row>
    <row r="16" spans="1:7" x14ac:dyDescent="0.3">
      <c r="A16">
        <v>1015</v>
      </c>
      <c r="B16" t="s">
        <v>22</v>
      </c>
      <c r="C16" t="s">
        <v>7</v>
      </c>
      <c r="D16" t="s">
        <v>8</v>
      </c>
      <c r="E16" s="3">
        <v>77</v>
      </c>
      <c r="F16">
        <f t="shared" si="0"/>
        <v>1</v>
      </c>
      <c r="G16">
        <v>11.197810636915699</v>
      </c>
    </row>
    <row r="17" spans="1:7" x14ac:dyDescent="0.3">
      <c r="A17">
        <v>1016</v>
      </c>
      <c r="B17" t="s">
        <v>23</v>
      </c>
      <c r="C17" t="s">
        <v>7</v>
      </c>
      <c r="D17" t="s">
        <v>8</v>
      </c>
      <c r="E17" s="3">
        <v>19</v>
      </c>
      <c r="F17">
        <f t="shared" si="0"/>
        <v>0</v>
      </c>
      <c r="G17">
        <v>9.7281007107235595</v>
      </c>
    </row>
    <row r="18" spans="1:7" x14ac:dyDescent="0.3">
      <c r="A18">
        <v>1017</v>
      </c>
      <c r="B18" t="s">
        <v>24</v>
      </c>
      <c r="C18" t="s">
        <v>7</v>
      </c>
      <c r="D18" t="s">
        <v>8</v>
      </c>
      <c r="E18" s="3">
        <v>57</v>
      </c>
      <c r="F18">
        <f t="shared" si="0"/>
        <v>0</v>
      </c>
      <c r="G18">
        <v>10.098656081788</v>
      </c>
    </row>
    <row r="19" spans="1:7" x14ac:dyDescent="0.3">
      <c r="A19">
        <v>1018</v>
      </c>
      <c r="B19" t="s">
        <v>25</v>
      </c>
      <c r="C19" t="s">
        <v>7</v>
      </c>
      <c r="D19" t="s">
        <v>8</v>
      </c>
      <c r="E19" s="3">
        <v>78</v>
      </c>
      <c r="F19">
        <f t="shared" si="0"/>
        <v>1</v>
      </c>
      <c r="G19">
        <v>3.52823820855772</v>
      </c>
    </row>
    <row r="20" spans="1:7" x14ac:dyDescent="0.3">
      <c r="A20">
        <v>1019</v>
      </c>
      <c r="B20" t="s">
        <v>26</v>
      </c>
      <c r="C20" t="s">
        <v>7</v>
      </c>
      <c r="D20" t="s">
        <v>8</v>
      </c>
      <c r="E20" s="3">
        <v>92</v>
      </c>
      <c r="F20">
        <f t="shared" si="0"/>
        <v>1</v>
      </c>
      <c r="G20">
        <v>16.254658086093499</v>
      </c>
    </row>
    <row r="21" spans="1:7" x14ac:dyDescent="0.3">
      <c r="A21">
        <v>1020</v>
      </c>
      <c r="B21" t="s">
        <v>27</v>
      </c>
      <c r="C21" t="s">
        <v>7</v>
      </c>
      <c r="D21" t="s">
        <v>8</v>
      </c>
      <c r="E21" s="3">
        <v>23</v>
      </c>
      <c r="F21">
        <f t="shared" si="0"/>
        <v>0</v>
      </c>
      <c r="G21">
        <v>10.835206398820301</v>
      </c>
    </row>
    <row r="22" spans="1:7" x14ac:dyDescent="0.3">
      <c r="A22">
        <v>1021</v>
      </c>
      <c r="B22" t="s">
        <v>28</v>
      </c>
      <c r="C22" t="s">
        <v>7</v>
      </c>
      <c r="D22" t="s">
        <v>8</v>
      </c>
      <c r="E22" s="3">
        <v>62</v>
      </c>
      <c r="F22">
        <f t="shared" si="0"/>
        <v>1</v>
      </c>
      <c r="G22">
        <v>2.6215972340940601</v>
      </c>
    </row>
    <row r="23" spans="1:7" x14ac:dyDescent="0.3">
      <c r="A23">
        <v>1022</v>
      </c>
      <c r="B23" t="s">
        <v>29</v>
      </c>
      <c r="C23" t="s">
        <v>7</v>
      </c>
      <c r="D23" t="s">
        <v>8</v>
      </c>
      <c r="E23" s="3">
        <v>1</v>
      </c>
      <c r="F23">
        <f t="shared" si="0"/>
        <v>0</v>
      </c>
      <c r="G23">
        <v>15.3231420316555</v>
      </c>
    </row>
    <row r="24" spans="1:7" x14ac:dyDescent="0.3">
      <c r="A24">
        <v>1023</v>
      </c>
      <c r="B24" t="s">
        <v>30</v>
      </c>
      <c r="C24" t="s">
        <v>7</v>
      </c>
      <c r="D24" t="s">
        <v>8</v>
      </c>
      <c r="E24" s="3">
        <v>100</v>
      </c>
      <c r="F24">
        <f t="shared" si="0"/>
        <v>1</v>
      </c>
      <c r="G24">
        <v>18.648879567546999</v>
      </c>
    </row>
    <row r="25" spans="1:7" x14ac:dyDescent="0.3">
      <c r="A25">
        <v>1024</v>
      </c>
      <c r="B25" t="s">
        <v>31</v>
      </c>
      <c r="C25" t="s">
        <v>7</v>
      </c>
      <c r="D25" t="s">
        <v>8</v>
      </c>
      <c r="E25" s="3">
        <v>49</v>
      </c>
      <c r="F25">
        <f t="shared" si="0"/>
        <v>0</v>
      </c>
      <c r="G25">
        <v>18.946137984739199</v>
      </c>
    </row>
    <row r="26" spans="1:7" x14ac:dyDescent="0.3">
      <c r="A26">
        <v>1025</v>
      </c>
      <c r="B26" t="s">
        <v>32</v>
      </c>
      <c r="C26" t="s">
        <v>7</v>
      </c>
      <c r="D26" t="s">
        <v>8</v>
      </c>
      <c r="E26" s="3">
        <v>41</v>
      </c>
      <c r="F26">
        <f t="shared" si="0"/>
        <v>0</v>
      </c>
      <c r="G26">
        <v>7.3803546482234497</v>
      </c>
    </row>
    <row r="27" spans="1:7" x14ac:dyDescent="0.3">
      <c r="A27">
        <v>1026</v>
      </c>
      <c r="B27" t="s">
        <v>33</v>
      </c>
      <c r="C27" t="s">
        <v>7</v>
      </c>
      <c r="D27" t="s">
        <v>8</v>
      </c>
      <c r="E27" s="3">
        <v>47</v>
      </c>
      <c r="F27">
        <f t="shared" si="0"/>
        <v>0</v>
      </c>
      <c r="G27">
        <v>2.7103374712150798</v>
      </c>
    </row>
    <row r="28" spans="1:7" x14ac:dyDescent="0.3">
      <c r="A28">
        <v>1027</v>
      </c>
      <c r="B28" t="s">
        <v>34</v>
      </c>
      <c r="C28" t="s">
        <v>7</v>
      </c>
      <c r="D28" t="s">
        <v>8</v>
      </c>
      <c r="E28" s="3">
        <v>24</v>
      </c>
      <c r="F28">
        <f t="shared" si="0"/>
        <v>0</v>
      </c>
      <c r="G28">
        <v>10.367992532661299</v>
      </c>
    </row>
    <row r="29" spans="1:7" x14ac:dyDescent="0.3">
      <c r="A29">
        <v>1028</v>
      </c>
      <c r="B29" t="s">
        <v>35</v>
      </c>
      <c r="C29" t="s">
        <v>7</v>
      </c>
      <c r="D29" t="s">
        <v>8</v>
      </c>
      <c r="E29" s="3">
        <v>33</v>
      </c>
      <c r="F29">
        <f t="shared" si="0"/>
        <v>0</v>
      </c>
      <c r="G29">
        <v>2.2521845869844102</v>
      </c>
    </row>
    <row r="30" spans="1:7" x14ac:dyDescent="0.3">
      <c r="A30">
        <v>1029</v>
      </c>
      <c r="B30" t="s">
        <v>36</v>
      </c>
      <c r="C30" t="s">
        <v>7</v>
      </c>
      <c r="D30" t="s">
        <v>8</v>
      </c>
      <c r="E30" s="3">
        <v>45</v>
      </c>
      <c r="F30">
        <f t="shared" si="0"/>
        <v>0</v>
      </c>
      <c r="G30">
        <v>18.679748370252302</v>
      </c>
    </row>
    <row r="31" spans="1:7" x14ac:dyDescent="0.3">
      <c r="A31">
        <v>1030</v>
      </c>
      <c r="B31" t="s">
        <v>37</v>
      </c>
      <c r="C31" t="s">
        <v>7</v>
      </c>
      <c r="D31" t="s">
        <v>8</v>
      </c>
      <c r="E31" s="3">
        <v>41</v>
      </c>
      <c r="F31">
        <f t="shared" si="0"/>
        <v>0</v>
      </c>
      <c r="G31">
        <v>3.6715925471029198</v>
      </c>
    </row>
    <row r="32" spans="1:7" x14ac:dyDescent="0.3">
      <c r="A32">
        <v>1031</v>
      </c>
      <c r="B32" t="s">
        <v>38</v>
      </c>
      <c r="C32" t="s">
        <v>7</v>
      </c>
      <c r="D32" t="s">
        <v>8</v>
      </c>
      <c r="E32" s="3">
        <v>78</v>
      </c>
      <c r="F32">
        <f t="shared" si="0"/>
        <v>1</v>
      </c>
      <c r="G32">
        <v>5.0553171990232801</v>
      </c>
    </row>
    <row r="33" spans="1:7" x14ac:dyDescent="0.3">
      <c r="A33">
        <v>1032</v>
      </c>
      <c r="B33" t="s">
        <v>39</v>
      </c>
      <c r="C33" t="s">
        <v>7</v>
      </c>
      <c r="D33" t="s">
        <v>8</v>
      </c>
      <c r="E33" s="3">
        <v>25</v>
      </c>
      <c r="F33">
        <f t="shared" si="0"/>
        <v>0</v>
      </c>
      <c r="G33">
        <v>8.1327305376994001</v>
      </c>
    </row>
    <row r="34" spans="1:7" x14ac:dyDescent="0.3">
      <c r="A34">
        <v>1033</v>
      </c>
      <c r="B34" t="s">
        <v>40</v>
      </c>
      <c r="C34" t="s">
        <v>7</v>
      </c>
      <c r="D34" t="s">
        <v>8</v>
      </c>
      <c r="E34" s="3">
        <v>44</v>
      </c>
      <c r="F34">
        <f t="shared" si="0"/>
        <v>0</v>
      </c>
      <c r="G34">
        <v>7.6632893711825103</v>
      </c>
    </row>
    <row r="35" spans="1:7" x14ac:dyDescent="0.3">
      <c r="A35">
        <v>1034</v>
      </c>
      <c r="B35" t="s">
        <v>41</v>
      </c>
      <c r="C35" t="s">
        <v>7</v>
      </c>
      <c r="D35" t="s">
        <v>8</v>
      </c>
      <c r="E35" s="3">
        <v>86</v>
      </c>
      <c r="F35">
        <f t="shared" si="0"/>
        <v>1</v>
      </c>
      <c r="G35">
        <v>15.893257847957701</v>
      </c>
    </row>
    <row r="36" spans="1:7" x14ac:dyDescent="0.3">
      <c r="A36">
        <v>1035</v>
      </c>
      <c r="B36" t="s">
        <v>42</v>
      </c>
      <c r="C36" t="s">
        <v>7</v>
      </c>
      <c r="D36" t="s">
        <v>8</v>
      </c>
      <c r="E36" s="3">
        <v>97</v>
      </c>
      <c r="F36">
        <f t="shared" si="0"/>
        <v>1</v>
      </c>
      <c r="G36">
        <v>9.1263364110192402</v>
      </c>
    </row>
    <row r="37" spans="1:7" x14ac:dyDescent="0.3">
      <c r="A37">
        <v>1036</v>
      </c>
      <c r="B37" t="s">
        <v>43</v>
      </c>
      <c r="C37" t="s">
        <v>7</v>
      </c>
      <c r="D37" t="s">
        <v>8</v>
      </c>
      <c r="E37" s="3">
        <v>35</v>
      </c>
      <c r="F37">
        <f t="shared" si="0"/>
        <v>0</v>
      </c>
      <c r="G37">
        <v>3.4153652000667298</v>
      </c>
    </row>
    <row r="38" spans="1:7" x14ac:dyDescent="0.3">
      <c r="A38">
        <v>1037</v>
      </c>
      <c r="B38" t="s">
        <v>44</v>
      </c>
      <c r="C38" t="s">
        <v>7</v>
      </c>
      <c r="D38" t="s">
        <v>8</v>
      </c>
      <c r="E38" s="3">
        <v>75</v>
      </c>
      <c r="F38">
        <f t="shared" si="0"/>
        <v>1</v>
      </c>
      <c r="G38">
        <v>5.3441979097214798</v>
      </c>
    </row>
    <row r="39" spans="1:7" x14ac:dyDescent="0.3">
      <c r="A39">
        <v>1038</v>
      </c>
      <c r="B39" t="s">
        <v>45</v>
      </c>
      <c r="C39" t="s">
        <v>7</v>
      </c>
      <c r="D39" t="s">
        <v>8</v>
      </c>
      <c r="E39" s="3">
        <v>48</v>
      </c>
      <c r="F39">
        <f t="shared" si="0"/>
        <v>0</v>
      </c>
      <c r="G39">
        <v>10.1822677037504</v>
      </c>
    </row>
    <row r="40" spans="1:7" x14ac:dyDescent="0.3">
      <c r="A40">
        <v>1001</v>
      </c>
      <c r="B40" t="s">
        <v>6</v>
      </c>
      <c r="C40" t="s">
        <v>46</v>
      </c>
      <c r="D40" t="s">
        <v>47</v>
      </c>
      <c r="E40" s="3">
        <v>52</v>
      </c>
      <c r="F40">
        <f>IF(E40&gt;=60,1,0)</f>
        <v>0</v>
      </c>
      <c r="G40">
        <v>2.9490783485226899</v>
      </c>
    </row>
    <row r="41" spans="1:7" x14ac:dyDescent="0.3">
      <c r="A41">
        <v>1002</v>
      </c>
      <c r="B41" t="s">
        <v>9</v>
      </c>
      <c r="C41" t="s">
        <v>46</v>
      </c>
      <c r="D41" t="s">
        <v>47</v>
      </c>
      <c r="E41" s="3">
        <v>20</v>
      </c>
      <c r="F41">
        <f t="shared" ref="F41:F66" si="1">IF(E41&gt;=60,1,0)</f>
        <v>0</v>
      </c>
    </row>
    <row r="42" spans="1:7" x14ac:dyDescent="0.3">
      <c r="A42">
        <v>1003</v>
      </c>
      <c r="B42" t="s">
        <v>10</v>
      </c>
      <c r="C42" t="s">
        <v>46</v>
      </c>
      <c r="D42" t="s">
        <v>47</v>
      </c>
      <c r="E42" s="3">
        <v>32</v>
      </c>
      <c r="F42">
        <f t="shared" si="1"/>
        <v>0</v>
      </c>
    </row>
    <row r="43" spans="1:7" x14ac:dyDescent="0.3">
      <c r="A43">
        <v>1004</v>
      </c>
      <c r="B43" t="s">
        <v>11</v>
      </c>
      <c r="C43" t="s">
        <v>46</v>
      </c>
      <c r="D43" t="s">
        <v>47</v>
      </c>
      <c r="E43" s="3">
        <v>19</v>
      </c>
      <c r="F43">
        <f t="shared" si="1"/>
        <v>0</v>
      </c>
    </row>
    <row r="44" spans="1:7" x14ac:dyDescent="0.3">
      <c r="A44">
        <v>1005</v>
      </c>
      <c r="B44" t="s">
        <v>12</v>
      </c>
      <c r="C44" t="s">
        <v>46</v>
      </c>
      <c r="D44" t="s">
        <v>47</v>
      </c>
      <c r="E44" s="3">
        <v>61</v>
      </c>
      <c r="F44">
        <f t="shared" si="1"/>
        <v>1</v>
      </c>
    </row>
    <row r="45" spans="1:7" x14ac:dyDescent="0.3">
      <c r="A45">
        <v>1006</v>
      </c>
      <c r="B45" t="s">
        <v>13</v>
      </c>
      <c r="C45" t="s">
        <v>46</v>
      </c>
      <c r="D45" t="s">
        <v>47</v>
      </c>
      <c r="E45" s="3">
        <v>34</v>
      </c>
      <c r="F45">
        <f t="shared" si="1"/>
        <v>0</v>
      </c>
    </row>
    <row r="46" spans="1:7" x14ac:dyDescent="0.3">
      <c r="A46">
        <v>1007</v>
      </c>
      <c r="B46" t="s">
        <v>14</v>
      </c>
      <c r="C46" t="s">
        <v>46</v>
      </c>
      <c r="D46" t="s">
        <v>47</v>
      </c>
      <c r="E46" s="3">
        <v>9</v>
      </c>
      <c r="F46">
        <f t="shared" si="1"/>
        <v>0</v>
      </c>
    </row>
    <row r="47" spans="1:7" x14ac:dyDescent="0.3">
      <c r="A47">
        <v>1008</v>
      </c>
      <c r="B47" t="s">
        <v>15</v>
      </c>
      <c r="C47" t="s">
        <v>46</v>
      </c>
      <c r="D47" t="s">
        <v>47</v>
      </c>
      <c r="E47" s="3">
        <v>22</v>
      </c>
      <c r="F47">
        <f t="shared" si="1"/>
        <v>0</v>
      </c>
    </row>
    <row r="48" spans="1:7" x14ac:dyDescent="0.3">
      <c r="A48">
        <v>1009</v>
      </c>
      <c r="B48" t="s">
        <v>16</v>
      </c>
      <c r="C48" t="s">
        <v>46</v>
      </c>
      <c r="D48" t="s">
        <v>47</v>
      </c>
      <c r="E48" s="3">
        <v>46</v>
      </c>
      <c r="F48">
        <f t="shared" si="1"/>
        <v>0</v>
      </c>
    </row>
    <row r="49" spans="1:6" x14ac:dyDescent="0.3">
      <c r="A49">
        <v>1010</v>
      </c>
      <c r="B49" t="s">
        <v>17</v>
      </c>
      <c r="C49" t="s">
        <v>46</v>
      </c>
      <c r="D49" t="s">
        <v>47</v>
      </c>
      <c r="E49" s="3">
        <v>100</v>
      </c>
      <c r="F49">
        <f t="shared" si="1"/>
        <v>1</v>
      </c>
    </row>
    <row r="50" spans="1:6" x14ac:dyDescent="0.3">
      <c r="A50">
        <v>1011</v>
      </c>
      <c r="B50" t="s">
        <v>18</v>
      </c>
      <c r="C50" t="s">
        <v>46</v>
      </c>
      <c r="D50" t="s">
        <v>47</v>
      </c>
      <c r="E50" s="3">
        <v>92</v>
      </c>
      <c r="F50">
        <f t="shared" si="1"/>
        <v>1</v>
      </c>
    </row>
    <row r="51" spans="1:6" x14ac:dyDescent="0.3">
      <c r="A51">
        <v>1012</v>
      </c>
      <c r="B51" t="s">
        <v>19</v>
      </c>
      <c r="C51" t="s">
        <v>46</v>
      </c>
      <c r="D51" t="s">
        <v>47</v>
      </c>
      <c r="E51" s="3">
        <v>1</v>
      </c>
      <c r="F51">
        <f t="shared" si="1"/>
        <v>0</v>
      </c>
    </row>
    <row r="52" spans="1:6" x14ac:dyDescent="0.3">
      <c r="A52">
        <v>1013</v>
      </c>
      <c r="B52" t="s">
        <v>20</v>
      </c>
      <c r="C52" t="s">
        <v>46</v>
      </c>
      <c r="D52" t="s">
        <v>47</v>
      </c>
      <c r="E52" s="3">
        <v>84</v>
      </c>
      <c r="F52">
        <f t="shared" si="1"/>
        <v>1</v>
      </c>
    </row>
    <row r="53" spans="1:6" x14ac:dyDescent="0.3">
      <c r="A53">
        <v>1014</v>
      </c>
      <c r="B53" t="s">
        <v>21</v>
      </c>
      <c r="C53" t="s">
        <v>46</v>
      </c>
      <c r="D53" t="s">
        <v>47</v>
      </c>
      <c r="E53" s="3">
        <v>63</v>
      </c>
      <c r="F53">
        <f t="shared" si="1"/>
        <v>1</v>
      </c>
    </row>
    <row r="54" spans="1:6" x14ac:dyDescent="0.3">
      <c r="A54">
        <v>1015</v>
      </c>
      <c r="B54" t="s">
        <v>22</v>
      </c>
      <c r="C54" t="s">
        <v>46</v>
      </c>
      <c r="D54" t="s">
        <v>47</v>
      </c>
      <c r="E54" s="3">
        <v>59</v>
      </c>
      <c r="F54">
        <f t="shared" si="1"/>
        <v>0</v>
      </c>
    </row>
    <row r="55" spans="1:6" x14ac:dyDescent="0.3">
      <c r="A55">
        <v>1016</v>
      </c>
      <c r="B55" t="s">
        <v>23</v>
      </c>
      <c r="C55" t="s">
        <v>46</v>
      </c>
      <c r="D55" t="s">
        <v>47</v>
      </c>
      <c r="E55" s="3">
        <v>61</v>
      </c>
      <c r="F55">
        <f t="shared" si="1"/>
        <v>1</v>
      </c>
    </row>
    <row r="56" spans="1:6" x14ac:dyDescent="0.3">
      <c r="A56">
        <v>1017</v>
      </c>
      <c r="B56" t="s">
        <v>24</v>
      </c>
      <c r="C56" t="s">
        <v>46</v>
      </c>
      <c r="D56" t="s">
        <v>47</v>
      </c>
      <c r="E56" s="3">
        <v>47</v>
      </c>
      <c r="F56">
        <f t="shared" si="1"/>
        <v>0</v>
      </c>
    </row>
    <row r="57" spans="1:6" x14ac:dyDescent="0.3">
      <c r="A57">
        <v>1018</v>
      </c>
      <c r="B57" t="s">
        <v>25</v>
      </c>
      <c r="C57" t="s">
        <v>46</v>
      </c>
      <c r="D57" t="s">
        <v>47</v>
      </c>
      <c r="E57" s="3">
        <v>27</v>
      </c>
      <c r="F57">
        <f t="shared" si="1"/>
        <v>0</v>
      </c>
    </row>
    <row r="58" spans="1:6" x14ac:dyDescent="0.3">
      <c r="A58">
        <v>1019</v>
      </c>
      <c r="B58" t="s">
        <v>26</v>
      </c>
      <c r="C58" t="s">
        <v>46</v>
      </c>
      <c r="D58" t="s">
        <v>47</v>
      </c>
      <c r="E58" s="3">
        <v>99</v>
      </c>
      <c r="F58">
        <f t="shared" si="1"/>
        <v>1</v>
      </c>
    </row>
    <row r="59" spans="1:6" x14ac:dyDescent="0.3">
      <c r="A59">
        <v>1020</v>
      </c>
      <c r="B59" t="s">
        <v>27</v>
      </c>
      <c r="C59" t="s">
        <v>46</v>
      </c>
      <c r="D59" t="s">
        <v>47</v>
      </c>
      <c r="E59" s="3">
        <v>84</v>
      </c>
      <c r="F59">
        <f t="shared" si="1"/>
        <v>1</v>
      </c>
    </row>
    <row r="60" spans="1:6" x14ac:dyDescent="0.3">
      <c r="A60">
        <v>1021</v>
      </c>
      <c r="B60" t="s">
        <v>28</v>
      </c>
      <c r="C60" t="s">
        <v>46</v>
      </c>
      <c r="D60" t="s">
        <v>47</v>
      </c>
      <c r="E60" s="3">
        <v>95</v>
      </c>
      <c r="F60">
        <f t="shared" si="1"/>
        <v>1</v>
      </c>
    </row>
    <row r="61" spans="1:6" x14ac:dyDescent="0.3">
      <c r="A61">
        <v>1022</v>
      </c>
      <c r="B61" t="s">
        <v>29</v>
      </c>
      <c r="C61" t="s">
        <v>46</v>
      </c>
      <c r="D61" t="s">
        <v>47</v>
      </c>
      <c r="E61" s="3">
        <v>50</v>
      </c>
      <c r="F61">
        <f t="shared" si="1"/>
        <v>0</v>
      </c>
    </row>
    <row r="62" spans="1:6" x14ac:dyDescent="0.3">
      <c r="A62">
        <v>1023</v>
      </c>
      <c r="B62" t="s">
        <v>30</v>
      </c>
      <c r="C62" t="s">
        <v>46</v>
      </c>
      <c r="D62" t="s">
        <v>47</v>
      </c>
      <c r="E62" s="3">
        <v>27</v>
      </c>
      <c r="F62">
        <f t="shared" si="1"/>
        <v>0</v>
      </c>
    </row>
    <row r="63" spans="1:6" x14ac:dyDescent="0.3">
      <c r="A63">
        <v>1024</v>
      </c>
      <c r="B63" t="s">
        <v>31</v>
      </c>
      <c r="C63" t="s">
        <v>46</v>
      </c>
      <c r="D63" t="s">
        <v>47</v>
      </c>
      <c r="E63" s="3">
        <v>39</v>
      </c>
      <c r="F63">
        <f t="shared" si="1"/>
        <v>0</v>
      </c>
    </row>
    <row r="64" spans="1:6" x14ac:dyDescent="0.3">
      <c r="A64">
        <v>1025</v>
      </c>
      <c r="B64" t="s">
        <v>32</v>
      </c>
      <c r="C64" t="s">
        <v>46</v>
      </c>
      <c r="D64" t="s">
        <v>47</v>
      </c>
      <c r="E64" s="3">
        <v>71</v>
      </c>
      <c r="F64">
        <f t="shared" si="1"/>
        <v>1</v>
      </c>
    </row>
    <row r="65" spans="1:6" x14ac:dyDescent="0.3">
      <c r="A65">
        <v>1026</v>
      </c>
      <c r="B65" t="s">
        <v>33</v>
      </c>
      <c r="C65" t="s">
        <v>46</v>
      </c>
      <c r="D65" t="s">
        <v>47</v>
      </c>
      <c r="E65" s="3">
        <v>83</v>
      </c>
      <c r="F65">
        <f t="shared" si="1"/>
        <v>1</v>
      </c>
    </row>
    <row r="66" spans="1:6" x14ac:dyDescent="0.3">
      <c r="A66">
        <v>1027</v>
      </c>
      <c r="B66" t="s">
        <v>34</v>
      </c>
      <c r="C66" t="s">
        <v>46</v>
      </c>
      <c r="D66" t="s">
        <v>47</v>
      </c>
      <c r="E66" s="3">
        <v>38</v>
      </c>
      <c r="F66">
        <f t="shared" si="1"/>
        <v>0</v>
      </c>
    </row>
    <row r="67" spans="1:6" x14ac:dyDescent="0.3">
      <c r="A67">
        <v>1027</v>
      </c>
      <c r="B67" t="s">
        <v>34</v>
      </c>
      <c r="C67" t="s">
        <v>46</v>
      </c>
      <c r="D67" t="s">
        <v>47</v>
      </c>
      <c r="E67" s="3">
        <v>38</v>
      </c>
      <c r="F67">
        <f t="shared" ref="F67" si="2">IF(E67&gt;=60,1,0)</f>
        <v>0</v>
      </c>
    </row>
    <row r="68" spans="1:6" x14ac:dyDescent="0.3">
      <c r="A68">
        <v>1001</v>
      </c>
      <c r="B68" t="s">
        <v>6</v>
      </c>
      <c r="C68" t="s">
        <v>48</v>
      </c>
      <c r="D68" t="s">
        <v>49</v>
      </c>
      <c r="E68" s="3">
        <v>48</v>
      </c>
      <c r="F68">
        <f>IF(E68&gt;=60,1,0)</f>
        <v>0</v>
      </c>
    </row>
    <row r="69" spans="1:6" x14ac:dyDescent="0.3">
      <c r="A69">
        <v>1002</v>
      </c>
      <c r="B69" t="s">
        <v>9</v>
      </c>
      <c r="C69" t="s">
        <v>48</v>
      </c>
      <c r="D69" t="s">
        <v>49</v>
      </c>
      <c r="E69" s="3">
        <v>5</v>
      </c>
      <c r="F69">
        <f t="shared" ref="F69:F104" si="3">IF(E69&gt;=60,1,0)</f>
        <v>0</v>
      </c>
    </row>
    <row r="70" spans="1:6" x14ac:dyDescent="0.3">
      <c r="A70">
        <v>1003</v>
      </c>
      <c r="B70" t="s">
        <v>10</v>
      </c>
      <c r="C70" t="s">
        <v>48</v>
      </c>
      <c r="D70" t="s">
        <v>49</v>
      </c>
      <c r="E70" s="3">
        <v>7</v>
      </c>
      <c r="F70">
        <f t="shared" si="3"/>
        <v>0</v>
      </c>
    </row>
    <row r="71" spans="1:6" x14ac:dyDescent="0.3">
      <c r="A71">
        <v>1004</v>
      </c>
      <c r="B71" t="s">
        <v>11</v>
      </c>
      <c r="C71" t="s">
        <v>48</v>
      </c>
      <c r="D71" t="s">
        <v>49</v>
      </c>
      <c r="E71" s="3">
        <v>70</v>
      </c>
      <c r="F71">
        <f t="shared" si="3"/>
        <v>1</v>
      </c>
    </row>
    <row r="72" spans="1:6" x14ac:dyDescent="0.3">
      <c r="A72">
        <v>1005</v>
      </c>
      <c r="B72" t="s">
        <v>12</v>
      </c>
      <c r="C72" t="s">
        <v>48</v>
      </c>
      <c r="D72" t="s">
        <v>49</v>
      </c>
      <c r="E72" s="3">
        <v>73</v>
      </c>
      <c r="F72">
        <f t="shared" si="3"/>
        <v>1</v>
      </c>
    </row>
    <row r="73" spans="1:6" x14ac:dyDescent="0.3">
      <c r="A73">
        <v>1006</v>
      </c>
      <c r="B73" t="s">
        <v>13</v>
      </c>
      <c r="C73" t="s">
        <v>48</v>
      </c>
      <c r="D73" t="s">
        <v>49</v>
      </c>
      <c r="E73" s="3">
        <v>59</v>
      </c>
      <c r="F73">
        <f t="shared" si="3"/>
        <v>0</v>
      </c>
    </row>
    <row r="74" spans="1:6" x14ac:dyDescent="0.3">
      <c r="A74">
        <v>1007</v>
      </c>
      <c r="B74" t="s">
        <v>14</v>
      </c>
      <c r="C74" t="s">
        <v>48</v>
      </c>
      <c r="D74" t="s">
        <v>49</v>
      </c>
      <c r="E74" s="3">
        <v>23</v>
      </c>
      <c r="F74">
        <f t="shared" si="3"/>
        <v>0</v>
      </c>
    </row>
    <row r="75" spans="1:6" x14ac:dyDescent="0.3">
      <c r="A75">
        <v>1008</v>
      </c>
      <c r="B75" t="s">
        <v>15</v>
      </c>
      <c r="C75" t="s">
        <v>48</v>
      </c>
      <c r="D75" t="s">
        <v>49</v>
      </c>
      <c r="E75" s="3">
        <v>72</v>
      </c>
      <c r="F75">
        <f t="shared" si="3"/>
        <v>1</v>
      </c>
    </row>
    <row r="76" spans="1:6" x14ac:dyDescent="0.3">
      <c r="A76">
        <v>1009</v>
      </c>
      <c r="B76" t="s">
        <v>16</v>
      </c>
      <c r="C76" t="s">
        <v>48</v>
      </c>
      <c r="D76" t="s">
        <v>49</v>
      </c>
      <c r="E76" s="3">
        <v>31</v>
      </c>
      <c r="F76">
        <f t="shared" si="3"/>
        <v>0</v>
      </c>
    </row>
    <row r="77" spans="1:6" x14ac:dyDescent="0.3">
      <c r="A77">
        <v>1010</v>
      </c>
      <c r="B77" t="s">
        <v>17</v>
      </c>
      <c r="C77" t="s">
        <v>48</v>
      </c>
      <c r="D77" t="s">
        <v>49</v>
      </c>
      <c r="E77" s="3">
        <v>74</v>
      </c>
      <c r="F77">
        <f t="shared" si="3"/>
        <v>1</v>
      </c>
    </row>
    <row r="78" spans="1:6" x14ac:dyDescent="0.3">
      <c r="A78">
        <v>1011</v>
      </c>
      <c r="B78" t="s">
        <v>18</v>
      </c>
      <c r="C78" t="s">
        <v>48</v>
      </c>
      <c r="D78" t="s">
        <v>49</v>
      </c>
      <c r="E78" s="3">
        <v>91</v>
      </c>
      <c r="F78">
        <f t="shared" si="3"/>
        <v>1</v>
      </c>
    </row>
    <row r="79" spans="1:6" x14ac:dyDescent="0.3">
      <c r="A79">
        <v>1012</v>
      </c>
      <c r="B79" t="s">
        <v>19</v>
      </c>
      <c r="C79" t="s">
        <v>48</v>
      </c>
      <c r="D79" t="s">
        <v>49</v>
      </c>
      <c r="E79" s="3">
        <v>53</v>
      </c>
      <c r="F79">
        <f t="shared" si="3"/>
        <v>0</v>
      </c>
    </row>
    <row r="80" spans="1:6" x14ac:dyDescent="0.3">
      <c r="A80">
        <v>1013</v>
      </c>
      <c r="B80" t="s">
        <v>20</v>
      </c>
      <c r="C80" t="s">
        <v>48</v>
      </c>
      <c r="D80" t="s">
        <v>49</v>
      </c>
      <c r="E80" s="3">
        <v>56</v>
      </c>
      <c r="F80">
        <f t="shared" si="3"/>
        <v>0</v>
      </c>
    </row>
    <row r="81" spans="1:6" x14ac:dyDescent="0.3">
      <c r="A81">
        <v>1014</v>
      </c>
      <c r="B81" t="s">
        <v>21</v>
      </c>
      <c r="C81" t="s">
        <v>48</v>
      </c>
      <c r="D81" t="s">
        <v>49</v>
      </c>
      <c r="E81" s="3">
        <v>53</v>
      </c>
      <c r="F81">
        <f t="shared" si="3"/>
        <v>0</v>
      </c>
    </row>
    <row r="82" spans="1:6" x14ac:dyDescent="0.3">
      <c r="A82">
        <v>1015</v>
      </c>
      <c r="B82" t="s">
        <v>22</v>
      </c>
      <c r="C82" t="s">
        <v>48</v>
      </c>
      <c r="D82" t="s">
        <v>49</v>
      </c>
      <c r="E82" s="3">
        <v>100</v>
      </c>
      <c r="F82">
        <f t="shared" si="3"/>
        <v>1</v>
      </c>
    </row>
    <row r="83" spans="1:6" x14ac:dyDescent="0.3">
      <c r="A83">
        <v>1016</v>
      </c>
      <c r="B83" t="s">
        <v>23</v>
      </c>
      <c r="C83" t="s">
        <v>48</v>
      </c>
      <c r="D83" t="s">
        <v>49</v>
      </c>
      <c r="E83" s="3">
        <v>50</v>
      </c>
      <c r="F83">
        <f t="shared" si="3"/>
        <v>0</v>
      </c>
    </row>
    <row r="84" spans="1:6" x14ac:dyDescent="0.3">
      <c r="A84">
        <v>1017</v>
      </c>
      <c r="B84" t="s">
        <v>24</v>
      </c>
      <c r="C84" t="s">
        <v>48</v>
      </c>
      <c r="D84" t="s">
        <v>49</v>
      </c>
      <c r="E84" s="3">
        <v>60</v>
      </c>
      <c r="F84">
        <f t="shared" si="3"/>
        <v>1</v>
      </c>
    </row>
    <row r="85" spans="1:6" x14ac:dyDescent="0.3">
      <c r="A85">
        <v>1018</v>
      </c>
      <c r="B85" t="s">
        <v>25</v>
      </c>
      <c r="C85" t="s">
        <v>48</v>
      </c>
      <c r="D85" t="s">
        <v>49</v>
      </c>
      <c r="E85" s="3">
        <v>38</v>
      </c>
      <c r="F85">
        <f t="shared" si="3"/>
        <v>0</v>
      </c>
    </row>
    <row r="86" spans="1:6" x14ac:dyDescent="0.3">
      <c r="A86">
        <v>1019</v>
      </c>
      <c r="B86" t="s">
        <v>26</v>
      </c>
      <c r="C86" t="s">
        <v>48</v>
      </c>
      <c r="D86" t="s">
        <v>49</v>
      </c>
      <c r="E86" s="3">
        <v>33</v>
      </c>
      <c r="F86">
        <f t="shared" si="3"/>
        <v>0</v>
      </c>
    </row>
    <row r="87" spans="1:6" x14ac:dyDescent="0.3">
      <c r="A87">
        <v>1020</v>
      </c>
      <c r="B87" t="s">
        <v>27</v>
      </c>
      <c r="C87" t="s">
        <v>48</v>
      </c>
      <c r="D87" t="s">
        <v>49</v>
      </c>
      <c r="E87" s="3">
        <v>75</v>
      </c>
      <c r="F87">
        <f t="shared" si="3"/>
        <v>1</v>
      </c>
    </row>
    <row r="88" spans="1:6" x14ac:dyDescent="0.3">
      <c r="A88">
        <v>1021</v>
      </c>
      <c r="B88" t="s">
        <v>28</v>
      </c>
      <c r="C88" t="s">
        <v>48</v>
      </c>
      <c r="D88" t="s">
        <v>49</v>
      </c>
      <c r="E88" s="3">
        <v>74</v>
      </c>
      <c r="F88">
        <f t="shared" si="3"/>
        <v>1</v>
      </c>
    </row>
    <row r="89" spans="1:6" x14ac:dyDescent="0.3">
      <c r="A89">
        <v>1022</v>
      </c>
      <c r="B89" t="s">
        <v>29</v>
      </c>
      <c r="C89" t="s">
        <v>48</v>
      </c>
      <c r="D89" t="s">
        <v>49</v>
      </c>
      <c r="E89" s="3">
        <v>7</v>
      </c>
      <c r="F89">
        <f t="shared" si="3"/>
        <v>0</v>
      </c>
    </row>
    <row r="90" spans="1:6" x14ac:dyDescent="0.3">
      <c r="A90">
        <v>1023</v>
      </c>
      <c r="B90" t="s">
        <v>30</v>
      </c>
      <c r="C90" t="s">
        <v>48</v>
      </c>
      <c r="D90" t="s">
        <v>49</v>
      </c>
      <c r="E90" s="3">
        <v>6</v>
      </c>
      <c r="F90">
        <f t="shared" si="3"/>
        <v>0</v>
      </c>
    </row>
    <row r="91" spans="1:6" x14ac:dyDescent="0.3">
      <c r="A91">
        <v>1024</v>
      </c>
      <c r="B91" t="s">
        <v>31</v>
      </c>
      <c r="C91" t="s">
        <v>48</v>
      </c>
      <c r="D91" t="s">
        <v>49</v>
      </c>
      <c r="E91" s="3">
        <v>40</v>
      </c>
      <c r="F91">
        <f t="shared" si="3"/>
        <v>0</v>
      </c>
    </row>
    <row r="92" spans="1:6" x14ac:dyDescent="0.3">
      <c r="A92">
        <v>1025</v>
      </c>
      <c r="B92" t="s">
        <v>32</v>
      </c>
      <c r="C92" t="s">
        <v>48</v>
      </c>
      <c r="D92" t="s">
        <v>49</v>
      </c>
      <c r="E92" s="3">
        <v>14</v>
      </c>
      <c r="F92">
        <f t="shared" si="3"/>
        <v>0</v>
      </c>
    </row>
    <row r="93" spans="1:6" x14ac:dyDescent="0.3">
      <c r="A93">
        <v>1026</v>
      </c>
      <c r="B93" t="s">
        <v>33</v>
      </c>
      <c r="C93" t="s">
        <v>48</v>
      </c>
      <c r="D93" t="s">
        <v>49</v>
      </c>
      <c r="E93" s="3">
        <v>16</v>
      </c>
      <c r="F93">
        <f t="shared" si="3"/>
        <v>0</v>
      </c>
    </row>
    <row r="94" spans="1:6" x14ac:dyDescent="0.3">
      <c r="A94">
        <v>1027</v>
      </c>
      <c r="B94" t="s">
        <v>34</v>
      </c>
      <c r="C94" t="s">
        <v>48</v>
      </c>
      <c r="D94" t="s">
        <v>49</v>
      </c>
      <c r="E94" s="3">
        <v>31</v>
      </c>
      <c r="F94">
        <f t="shared" si="3"/>
        <v>0</v>
      </c>
    </row>
    <row r="95" spans="1:6" x14ac:dyDescent="0.3">
      <c r="A95">
        <v>1028</v>
      </c>
      <c r="B95" t="s">
        <v>35</v>
      </c>
      <c r="C95" t="s">
        <v>48</v>
      </c>
      <c r="D95" t="s">
        <v>49</v>
      </c>
      <c r="E95" s="3">
        <v>72</v>
      </c>
      <c r="F95">
        <f t="shared" si="3"/>
        <v>1</v>
      </c>
    </row>
    <row r="96" spans="1:6" x14ac:dyDescent="0.3">
      <c r="A96">
        <v>1029</v>
      </c>
      <c r="B96" t="s">
        <v>36</v>
      </c>
      <c r="C96" t="s">
        <v>48</v>
      </c>
      <c r="D96" t="s">
        <v>49</v>
      </c>
      <c r="E96" s="3">
        <v>48</v>
      </c>
      <c r="F96">
        <f t="shared" si="3"/>
        <v>0</v>
      </c>
    </row>
    <row r="97" spans="1:6" x14ac:dyDescent="0.3">
      <c r="A97">
        <v>1030</v>
      </c>
      <c r="B97" t="s">
        <v>37</v>
      </c>
      <c r="C97" t="s">
        <v>48</v>
      </c>
      <c r="D97" t="s">
        <v>49</v>
      </c>
      <c r="E97" s="3">
        <v>53</v>
      </c>
      <c r="F97">
        <f t="shared" si="3"/>
        <v>0</v>
      </c>
    </row>
    <row r="98" spans="1:6" x14ac:dyDescent="0.3">
      <c r="A98">
        <v>1031</v>
      </c>
      <c r="B98" t="s">
        <v>38</v>
      </c>
      <c r="C98" t="s">
        <v>48</v>
      </c>
      <c r="D98" t="s">
        <v>49</v>
      </c>
      <c r="E98" s="3">
        <v>67</v>
      </c>
      <c r="F98">
        <f t="shared" si="3"/>
        <v>1</v>
      </c>
    </row>
    <row r="99" spans="1:6" x14ac:dyDescent="0.3">
      <c r="A99">
        <v>1032</v>
      </c>
      <c r="B99" t="s">
        <v>39</v>
      </c>
      <c r="C99" t="s">
        <v>48</v>
      </c>
      <c r="D99" t="s">
        <v>49</v>
      </c>
      <c r="E99" s="3">
        <v>23</v>
      </c>
      <c r="F99">
        <f t="shared" si="3"/>
        <v>0</v>
      </c>
    </row>
    <row r="100" spans="1:6" x14ac:dyDescent="0.3">
      <c r="A100">
        <v>1033</v>
      </c>
      <c r="B100" t="s">
        <v>40</v>
      </c>
      <c r="C100" t="s">
        <v>48</v>
      </c>
      <c r="D100" t="s">
        <v>49</v>
      </c>
      <c r="E100" s="3">
        <v>90</v>
      </c>
      <c r="F100">
        <f t="shared" si="3"/>
        <v>1</v>
      </c>
    </row>
    <row r="101" spans="1:6" x14ac:dyDescent="0.3">
      <c r="A101">
        <v>1034</v>
      </c>
      <c r="B101" t="s">
        <v>41</v>
      </c>
      <c r="C101" t="s">
        <v>48</v>
      </c>
      <c r="D101" t="s">
        <v>49</v>
      </c>
      <c r="E101" s="3">
        <v>87</v>
      </c>
      <c r="F101">
        <f t="shared" si="3"/>
        <v>1</v>
      </c>
    </row>
    <row r="102" spans="1:6" x14ac:dyDescent="0.3">
      <c r="A102">
        <v>1035</v>
      </c>
      <c r="B102" t="s">
        <v>42</v>
      </c>
      <c r="C102" t="s">
        <v>48</v>
      </c>
      <c r="D102" t="s">
        <v>49</v>
      </c>
      <c r="E102" s="3">
        <v>40</v>
      </c>
      <c r="F102">
        <f t="shared" si="3"/>
        <v>0</v>
      </c>
    </row>
    <row r="103" spans="1:6" x14ac:dyDescent="0.3">
      <c r="A103">
        <v>1036</v>
      </c>
      <c r="B103" t="s">
        <v>43</v>
      </c>
      <c r="C103" t="s">
        <v>48</v>
      </c>
      <c r="D103" t="s">
        <v>49</v>
      </c>
      <c r="E103" s="3">
        <v>26</v>
      </c>
      <c r="F103">
        <f t="shared" si="3"/>
        <v>0</v>
      </c>
    </row>
    <row r="104" spans="1:6" x14ac:dyDescent="0.3">
      <c r="A104">
        <v>1037</v>
      </c>
      <c r="B104" t="s">
        <v>44</v>
      </c>
      <c r="C104" t="s">
        <v>48</v>
      </c>
      <c r="D104" t="s">
        <v>49</v>
      </c>
      <c r="E104" s="3">
        <v>51</v>
      </c>
      <c r="F104">
        <f t="shared" si="3"/>
        <v>0</v>
      </c>
    </row>
    <row r="105" spans="1:6" x14ac:dyDescent="0.3">
      <c r="A105">
        <v>1037</v>
      </c>
      <c r="B105" t="s">
        <v>44</v>
      </c>
      <c r="C105" t="s">
        <v>48</v>
      </c>
      <c r="D105" t="s">
        <v>49</v>
      </c>
      <c r="E105" s="3">
        <v>51</v>
      </c>
      <c r="F105">
        <f t="shared" ref="F105" si="4">IF(E105&gt;=60,1,0)</f>
        <v>0</v>
      </c>
    </row>
    <row r="106" spans="1:6" x14ac:dyDescent="0.3">
      <c r="A106">
        <v>1001</v>
      </c>
      <c r="B106" t="s">
        <v>6</v>
      </c>
      <c r="C106" t="s">
        <v>50</v>
      </c>
      <c r="D106" t="s">
        <v>51</v>
      </c>
      <c r="E106" s="3">
        <v>35</v>
      </c>
      <c r="F106">
        <f>IF(E106&gt;=60,1,0)</f>
        <v>0</v>
      </c>
    </row>
    <row r="107" spans="1:6" x14ac:dyDescent="0.3">
      <c r="A107">
        <v>1002</v>
      </c>
      <c r="B107" t="s">
        <v>9</v>
      </c>
      <c r="C107" t="s">
        <v>50</v>
      </c>
      <c r="D107" t="s">
        <v>51</v>
      </c>
      <c r="E107" s="3">
        <v>66</v>
      </c>
      <c r="F107">
        <f t="shared" ref="F107:F143" si="5">IF(E107&gt;=60,1,0)</f>
        <v>1</v>
      </c>
    </row>
    <row r="108" spans="1:6" x14ac:dyDescent="0.3">
      <c r="A108">
        <v>1003</v>
      </c>
      <c r="B108" t="s">
        <v>10</v>
      </c>
      <c r="C108" t="s">
        <v>50</v>
      </c>
      <c r="D108" t="s">
        <v>51</v>
      </c>
      <c r="E108" s="3">
        <v>29</v>
      </c>
      <c r="F108">
        <f t="shared" si="5"/>
        <v>0</v>
      </c>
    </row>
    <row r="109" spans="1:6" x14ac:dyDescent="0.3">
      <c r="A109">
        <v>1004</v>
      </c>
      <c r="B109" t="s">
        <v>11</v>
      </c>
      <c r="C109" t="s">
        <v>50</v>
      </c>
      <c r="D109" t="s">
        <v>51</v>
      </c>
      <c r="E109" s="3">
        <v>91</v>
      </c>
      <c r="F109">
        <f t="shared" si="5"/>
        <v>1</v>
      </c>
    </row>
    <row r="110" spans="1:6" x14ac:dyDescent="0.3">
      <c r="A110">
        <v>1005</v>
      </c>
      <c r="B110" t="s">
        <v>12</v>
      </c>
      <c r="C110" t="s">
        <v>50</v>
      </c>
      <c r="D110" t="s">
        <v>51</v>
      </c>
      <c r="E110" s="3">
        <v>63</v>
      </c>
      <c r="F110">
        <f t="shared" si="5"/>
        <v>1</v>
      </c>
    </row>
    <row r="111" spans="1:6" x14ac:dyDescent="0.3">
      <c r="A111">
        <v>1006</v>
      </c>
      <c r="B111" t="s">
        <v>13</v>
      </c>
      <c r="C111" t="s">
        <v>50</v>
      </c>
      <c r="D111" t="s">
        <v>51</v>
      </c>
      <c r="E111" s="3">
        <v>16</v>
      </c>
      <c r="F111">
        <f t="shared" si="5"/>
        <v>0</v>
      </c>
    </row>
    <row r="112" spans="1:6" x14ac:dyDescent="0.3">
      <c r="A112">
        <v>1007</v>
      </c>
      <c r="B112" t="s">
        <v>14</v>
      </c>
      <c r="C112" t="s">
        <v>50</v>
      </c>
      <c r="D112" t="s">
        <v>51</v>
      </c>
      <c r="E112" s="3">
        <v>10</v>
      </c>
      <c r="F112">
        <f t="shared" si="5"/>
        <v>0</v>
      </c>
    </row>
    <row r="113" spans="1:6" x14ac:dyDescent="0.3">
      <c r="A113">
        <v>1008</v>
      </c>
      <c r="B113" t="s">
        <v>15</v>
      </c>
      <c r="C113" t="s">
        <v>50</v>
      </c>
      <c r="D113" t="s">
        <v>51</v>
      </c>
      <c r="E113" s="3">
        <v>23</v>
      </c>
      <c r="F113">
        <f t="shared" si="5"/>
        <v>0</v>
      </c>
    </row>
    <row r="114" spans="1:6" x14ac:dyDescent="0.3">
      <c r="A114">
        <v>1009</v>
      </c>
      <c r="B114" t="s">
        <v>16</v>
      </c>
      <c r="C114" t="s">
        <v>50</v>
      </c>
      <c r="D114" t="s">
        <v>51</v>
      </c>
      <c r="E114" s="3">
        <v>72</v>
      </c>
      <c r="F114">
        <f t="shared" si="5"/>
        <v>1</v>
      </c>
    </row>
    <row r="115" spans="1:6" x14ac:dyDescent="0.3">
      <c r="A115">
        <v>1010</v>
      </c>
      <c r="B115" t="s">
        <v>17</v>
      </c>
      <c r="C115" t="s">
        <v>50</v>
      </c>
      <c r="D115" t="s">
        <v>51</v>
      </c>
      <c r="E115" s="3">
        <v>93</v>
      </c>
      <c r="F115">
        <f t="shared" si="5"/>
        <v>1</v>
      </c>
    </row>
    <row r="116" spans="1:6" x14ac:dyDescent="0.3">
      <c r="A116">
        <v>1011</v>
      </c>
      <c r="B116" t="s">
        <v>18</v>
      </c>
      <c r="C116" t="s">
        <v>50</v>
      </c>
      <c r="D116" t="s">
        <v>51</v>
      </c>
      <c r="E116" s="3">
        <v>10</v>
      </c>
      <c r="F116">
        <f t="shared" si="5"/>
        <v>0</v>
      </c>
    </row>
    <row r="117" spans="1:6" x14ac:dyDescent="0.3">
      <c r="A117">
        <v>1012</v>
      </c>
      <c r="B117" t="s">
        <v>19</v>
      </c>
      <c r="C117" t="s">
        <v>50</v>
      </c>
      <c r="D117" t="s">
        <v>51</v>
      </c>
      <c r="E117" s="3">
        <v>99</v>
      </c>
      <c r="F117">
        <f t="shared" si="5"/>
        <v>1</v>
      </c>
    </row>
    <row r="118" spans="1:6" x14ac:dyDescent="0.3">
      <c r="A118">
        <v>1013</v>
      </c>
      <c r="B118" t="s">
        <v>20</v>
      </c>
      <c r="C118" t="s">
        <v>50</v>
      </c>
      <c r="D118" t="s">
        <v>51</v>
      </c>
      <c r="E118" s="3">
        <v>78</v>
      </c>
      <c r="F118">
        <f t="shared" si="5"/>
        <v>1</v>
      </c>
    </row>
    <row r="119" spans="1:6" x14ac:dyDescent="0.3">
      <c r="A119">
        <v>1014</v>
      </c>
      <c r="B119" t="s">
        <v>21</v>
      </c>
      <c r="C119" t="s">
        <v>50</v>
      </c>
      <c r="D119" t="s">
        <v>51</v>
      </c>
      <c r="E119" s="3">
        <v>81</v>
      </c>
      <c r="F119">
        <f t="shared" si="5"/>
        <v>1</v>
      </c>
    </row>
    <row r="120" spans="1:6" x14ac:dyDescent="0.3">
      <c r="A120">
        <v>1015</v>
      </c>
      <c r="B120" t="s">
        <v>22</v>
      </c>
      <c r="C120" t="s">
        <v>50</v>
      </c>
      <c r="D120" t="s">
        <v>51</v>
      </c>
      <c r="E120" s="3">
        <v>40</v>
      </c>
      <c r="F120">
        <f t="shared" si="5"/>
        <v>0</v>
      </c>
    </row>
    <row r="121" spans="1:6" x14ac:dyDescent="0.3">
      <c r="A121">
        <v>1016</v>
      </c>
      <c r="B121" t="s">
        <v>23</v>
      </c>
      <c r="C121" t="s">
        <v>50</v>
      </c>
      <c r="D121" t="s">
        <v>51</v>
      </c>
      <c r="E121" s="3">
        <v>23</v>
      </c>
      <c r="F121">
        <f t="shared" si="5"/>
        <v>0</v>
      </c>
    </row>
    <row r="122" spans="1:6" x14ac:dyDescent="0.3">
      <c r="A122">
        <v>1017</v>
      </c>
      <c r="B122" t="s">
        <v>24</v>
      </c>
      <c r="C122" t="s">
        <v>50</v>
      </c>
      <c r="D122" t="s">
        <v>51</v>
      </c>
      <c r="E122" s="3">
        <v>65</v>
      </c>
      <c r="F122">
        <f t="shared" si="5"/>
        <v>1</v>
      </c>
    </row>
    <row r="123" spans="1:6" x14ac:dyDescent="0.3">
      <c r="A123">
        <v>1018</v>
      </c>
      <c r="B123" t="s">
        <v>25</v>
      </c>
      <c r="C123" t="s">
        <v>50</v>
      </c>
      <c r="D123" t="s">
        <v>51</v>
      </c>
      <c r="E123" s="3">
        <v>24</v>
      </c>
      <c r="F123">
        <f t="shared" si="5"/>
        <v>0</v>
      </c>
    </row>
    <row r="124" spans="1:6" x14ac:dyDescent="0.3">
      <c r="A124">
        <v>1019</v>
      </c>
      <c r="B124" t="s">
        <v>26</v>
      </c>
      <c r="C124" t="s">
        <v>50</v>
      </c>
      <c r="D124" t="s">
        <v>51</v>
      </c>
      <c r="E124" s="3">
        <v>62</v>
      </c>
      <c r="F124">
        <f t="shared" si="5"/>
        <v>1</v>
      </c>
    </row>
    <row r="125" spans="1:6" x14ac:dyDescent="0.3">
      <c r="A125">
        <v>1020</v>
      </c>
      <c r="B125" t="s">
        <v>27</v>
      </c>
      <c r="C125" t="s">
        <v>50</v>
      </c>
      <c r="D125" t="s">
        <v>51</v>
      </c>
      <c r="E125" s="3">
        <v>41</v>
      </c>
      <c r="F125">
        <f t="shared" si="5"/>
        <v>0</v>
      </c>
    </row>
    <row r="126" spans="1:6" x14ac:dyDescent="0.3">
      <c r="A126">
        <v>1021</v>
      </c>
      <c r="B126" t="s">
        <v>28</v>
      </c>
      <c r="C126" t="s">
        <v>50</v>
      </c>
      <c r="D126" t="s">
        <v>51</v>
      </c>
      <c r="E126" s="3">
        <v>42</v>
      </c>
      <c r="F126">
        <f t="shared" si="5"/>
        <v>0</v>
      </c>
    </row>
    <row r="127" spans="1:6" x14ac:dyDescent="0.3">
      <c r="A127">
        <v>1022</v>
      </c>
      <c r="B127" t="s">
        <v>29</v>
      </c>
      <c r="C127" t="s">
        <v>50</v>
      </c>
      <c r="D127" t="s">
        <v>51</v>
      </c>
      <c r="E127" s="3">
        <v>8</v>
      </c>
      <c r="F127">
        <f t="shared" si="5"/>
        <v>0</v>
      </c>
    </row>
    <row r="128" spans="1:6" x14ac:dyDescent="0.3">
      <c r="A128">
        <v>1023</v>
      </c>
      <c r="B128" t="s">
        <v>30</v>
      </c>
      <c r="C128" t="s">
        <v>50</v>
      </c>
      <c r="D128" t="s">
        <v>51</v>
      </c>
      <c r="E128" s="3">
        <v>91</v>
      </c>
      <c r="F128">
        <f t="shared" si="5"/>
        <v>1</v>
      </c>
    </row>
    <row r="129" spans="1:6" x14ac:dyDescent="0.3">
      <c r="A129">
        <v>1024</v>
      </c>
      <c r="B129" t="s">
        <v>31</v>
      </c>
      <c r="C129" t="s">
        <v>50</v>
      </c>
      <c r="D129" t="s">
        <v>51</v>
      </c>
      <c r="E129" s="3">
        <v>69</v>
      </c>
      <c r="F129">
        <f t="shared" si="5"/>
        <v>1</v>
      </c>
    </row>
    <row r="130" spans="1:6" x14ac:dyDescent="0.3">
      <c r="A130">
        <v>1025</v>
      </c>
      <c r="B130" t="s">
        <v>32</v>
      </c>
      <c r="C130" t="s">
        <v>50</v>
      </c>
      <c r="D130" t="s">
        <v>51</v>
      </c>
      <c r="E130" s="3">
        <v>47</v>
      </c>
      <c r="F130">
        <f t="shared" si="5"/>
        <v>0</v>
      </c>
    </row>
    <row r="131" spans="1:6" x14ac:dyDescent="0.3">
      <c r="A131">
        <v>1026</v>
      </c>
      <c r="B131" t="s">
        <v>33</v>
      </c>
      <c r="C131" t="s">
        <v>50</v>
      </c>
      <c r="D131" t="s">
        <v>51</v>
      </c>
      <c r="E131" s="3">
        <v>0</v>
      </c>
      <c r="F131">
        <f t="shared" si="5"/>
        <v>0</v>
      </c>
    </row>
    <row r="132" spans="1:6" x14ac:dyDescent="0.3">
      <c r="A132">
        <v>1027</v>
      </c>
      <c r="B132" t="s">
        <v>34</v>
      </c>
      <c r="C132" t="s">
        <v>50</v>
      </c>
      <c r="D132" t="s">
        <v>51</v>
      </c>
      <c r="E132" s="3">
        <v>42</v>
      </c>
      <c r="F132">
        <f t="shared" si="5"/>
        <v>0</v>
      </c>
    </row>
    <row r="133" spans="1:6" x14ac:dyDescent="0.3">
      <c r="A133">
        <v>1028</v>
      </c>
      <c r="B133" t="s">
        <v>35</v>
      </c>
      <c r="C133" t="s">
        <v>50</v>
      </c>
      <c r="D133" t="s">
        <v>51</v>
      </c>
      <c r="E133" s="3">
        <v>65</v>
      </c>
      <c r="F133">
        <f t="shared" si="5"/>
        <v>1</v>
      </c>
    </row>
    <row r="134" spans="1:6" x14ac:dyDescent="0.3">
      <c r="A134">
        <v>1029</v>
      </c>
      <c r="B134" t="s">
        <v>36</v>
      </c>
      <c r="C134" t="s">
        <v>50</v>
      </c>
      <c r="D134" t="s">
        <v>51</v>
      </c>
      <c r="E134" s="3">
        <v>42</v>
      </c>
      <c r="F134">
        <f t="shared" si="5"/>
        <v>0</v>
      </c>
    </row>
    <row r="135" spans="1:6" x14ac:dyDescent="0.3">
      <c r="A135">
        <v>1030</v>
      </c>
      <c r="B135" t="s">
        <v>37</v>
      </c>
      <c r="C135" t="s">
        <v>50</v>
      </c>
      <c r="D135" t="s">
        <v>51</v>
      </c>
      <c r="E135" s="3">
        <v>32</v>
      </c>
      <c r="F135">
        <f t="shared" si="5"/>
        <v>0</v>
      </c>
    </row>
    <row r="136" spans="1:6" x14ac:dyDescent="0.3">
      <c r="A136">
        <v>1031</v>
      </c>
      <c r="B136" t="s">
        <v>38</v>
      </c>
      <c r="C136" t="s">
        <v>50</v>
      </c>
      <c r="D136" t="s">
        <v>51</v>
      </c>
      <c r="E136" s="3">
        <v>33</v>
      </c>
      <c r="F136">
        <f t="shared" si="5"/>
        <v>0</v>
      </c>
    </row>
    <row r="137" spans="1:6" x14ac:dyDescent="0.3">
      <c r="A137">
        <v>1032</v>
      </c>
      <c r="B137" t="s">
        <v>39</v>
      </c>
      <c r="C137" t="s">
        <v>50</v>
      </c>
      <c r="D137" t="s">
        <v>51</v>
      </c>
      <c r="E137" s="3">
        <v>4</v>
      </c>
      <c r="F137">
        <f t="shared" si="5"/>
        <v>0</v>
      </c>
    </row>
    <row r="138" spans="1:6" x14ac:dyDescent="0.3">
      <c r="A138">
        <v>1033</v>
      </c>
      <c r="B138" t="s">
        <v>40</v>
      </c>
      <c r="C138" t="s">
        <v>50</v>
      </c>
      <c r="D138" t="s">
        <v>51</v>
      </c>
      <c r="E138" s="3">
        <v>27</v>
      </c>
      <c r="F138">
        <f t="shared" si="5"/>
        <v>0</v>
      </c>
    </row>
    <row r="139" spans="1:6" x14ac:dyDescent="0.3">
      <c r="A139">
        <v>1034</v>
      </c>
      <c r="B139" t="s">
        <v>41</v>
      </c>
      <c r="C139" t="s">
        <v>50</v>
      </c>
      <c r="D139" t="s">
        <v>51</v>
      </c>
      <c r="E139" s="3">
        <v>56</v>
      </c>
      <c r="F139">
        <f t="shared" si="5"/>
        <v>0</v>
      </c>
    </row>
    <row r="140" spans="1:6" x14ac:dyDescent="0.3">
      <c r="A140">
        <v>1035</v>
      </c>
      <c r="B140" t="s">
        <v>42</v>
      </c>
      <c r="C140" t="s">
        <v>50</v>
      </c>
      <c r="D140" t="s">
        <v>51</v>
      </c>
      <c r="E140" s="3">
        <v>36</v>
      </c>
      <c r="F140">
        <f t="shared" si="5"/>
        <v>0</v>
      </c>
    </row>
    <row r="141" spans="1:6" x14ac:dyDescent="0.3">
      <c r="A141">
        <v>1036</v>
      </c>
      <c r="B141" t="s">
        <v>43</v>
      </c>
      <c r="C141" t="s">
        <v>50</v>
      </c>
      <c r="D141" t="s">
        <v>51</v>
      </c>
      <c r="E141" s="3">
        <v>51</v>
      </c>
      <c r="F141">
        <f t="shared" si="5"/>
        <v>0</v>
      </c>
    </row>
    <row r="142" spans="1:6" x14ac:dyDescent="0.3">
      <c r="A142">
        <v>1037</v>
      </c>
      <c r="B142" t="s">
        <v>44</v>
      </c>
      <c r="C142" t="s">
        <v>50</v>
      </c>
      <c r="D142" t="s">
        <v>51</v>
      </c>
      <c r="E142" s="3">
        <v>71</v>
      </c>
      <c r="F142">
        <f t="shared" si="5"/>
        <v>1</v>
      </c>
    </row>
    <row r="143" spans="1:6" x14ac:dyDescent="0.3">
      <c r="A143">
        <v>1038</v>
      </c>
      <c r="B143" t="s">
        <v>45</v>
      </c>
      <c r="C143" t="s">
        <v>50</v>
      </c>
      <c r="D143" t="s">
        <v>51</v>
      </c>
      <c r="E143" s="3">
        <v>52</v>
      </c>
      <c r="F143">
        <f t="shared" si="5"/>
        <v>0</v>
      </c>
    </row>
    <row r="144" spans="1:6" x14ac:dyDescent="0.3">
      <c r="A144">
        <v>1038</v>
      </c>
      <c r="B144" t="s">
        <v>45</v>
      </c>
      <c r="C144" t="s">
        <v>50</v>
      </c>
      <c r="D144" t="s">
        <v>51</v>
      </c>
      <c r="E144" s="3">
        <v>52</v>
      </c>
      <c r="F144">
        <f t="shared" ref="F144" si="6">IF(E144&gt;=60,1,0)</f>
        <v>0</v>
      </c>
    </row>
    <row r="145" spans="1:6" x14ac:dyDescent="0.3">
      <c r="A145">
        <v>1001</v>
      </c>
      <c r="B145" t="s">
        <v>6</v>
      </c>
      <c r="C145" t="s">
        <v>52</v>
      </c>
      <c r="D145" t="s">
        <v>53</v>
      </c>
      <c r="E145" s="3">
        <v>69</v>
      </c>
      <c r="F145">
        <f>IF(E145&gt;=60,1,0)</f>
        <v>1</v>
      </c>
    </row>
    <row r="146" spans="1:6" x14ac:dyDescent="0.3">
      <c r="A146">
        <v>1002</v>
      </c>
      <c r="B146" t="s">
        <v>9</v>
      </c>
      <c r="C146" t="s">
        <v>52</v>
      </c>
      <c r="D146" t="s">
        <v>53</v>
      </c>
      <c r="E146" s="3">
        <v>95</v>
      </c>
      <c r="F146">
        <f t="shared" ref="F146:F165" si="7">IF(E146&gt;=60,1,0)</f>
        <v>1</v>
      </c>
    </row>
    <row r="147" spans="1:6" x14ac:dyDescent="0.3">
      <c r="A147">
        <v>1003</v>
      </c>
      <c r="B147" t="s">
        <v>10</v>
      </c>
      <c r="C147" t="s">
        <v>52</v>
      </c>
      <c r="D147" t="s">
        <v>53</v>
      </c>
      <c r="E147" s="3">
        <v>33</v>
      </c>
      <c r="F147">
        <f t="shared" si="7"/>
        <v>0</v>
      </c>
    </row>
    <row r="148" spans="1:6" x14ac:dyDescent="0.3">
      <c r="A148">
        <v>1004</v>
      </c>
      <c r="B148" t="s">
        <v>11</v>
      </c>
      <c r="C148" t="s">
        <v>52</v>
      </c>
      <c r="D148" t="s">
        <v>53</v>
      </c>
      <c r="E148" s="3">
        <v>76</v>
      </c>
      <c r="F148">
        <f t="shared" si="7"/>
        <v>1</v>
      </c>
    </row>
    <row r="149" spans="1:6" x14ac:dyDescent="0.3">
      <c r="A149">
        <v>1005</v>
      </c>
      <c r="B149" t="s">
        <v>12</v>
      </c>
      <c r="C149" t="s">
        <v>52</v>
      </c>
      <c r="D149" t="s">
        <v>53</v>
      </c>
      <c r="E149" s="3">
        <v>20</v>
      </c>
      <c r="F149">
        <f t="shared" si="7"/>
        <v>0</v>
      </c>
    </row>
    <row r="150" spans="1:6" x14ac:dyDescent="0.3">
      <c r="A150">
        <v>1006</v>
      </c>
      <c r="B150" t="s">
        <v>13</v>
      </c>
      <c r="C150" t="s">
        <v>52</v>
      </c>
      <c r="D150" t="s">
        <v>53</v>
      </c>
      <c r="E150" s="3">
        <v>10</v>
      </c>
      <c r="F150">
        <f t="shared" si="7"/>
        <v>0</v>
      </c>
    </row>
    <row r="151" spans="1:6" x14ac:dyDescent="0.3">
      <c r="A151">
        <v>1007</v>
      </c>
      <c r="B151" t="s">
        <v>14</v>
      </c>
      <c r="C151" t="s">
        <v>52</v>
      </c>
      <c r="D151" t="s">
        <v>53</v>
      </c>
      <c r="E151" s="3">
        <v>72</v>
      </c>
      <c r="F151">
        <f t="shared" si="7"/>
        <v>1</v>
      </c>
    </row>
    <row r="152" spans="1:6" x14ac:dyDescent="0.3">
      <c r="A152">
        <v>1008</v>
      </c>
      <c r="B152" t="s">
        <v>15</v>
      </c>
      <c r="C152" t="s">
        <v>52</v>
      </c>
      <c r="D152" t="s">
        <v>53</v>
      </c>
      <c r="E152" s="3">
        <v>80</v>
      </c>
      <c r="F152">
        <f t="shared" si="7"/>
        <v>1</v>
      </c>
    </row>
    <row r="153" spans="1:6" x14ac:dyDescent="0.3">
      <c r="A153">
        <v>1009</v>
      </c>
      <c r="B153" t="s">
        <v>16</v>
      </c>
      <c r="C153" t="s">
        <v>52</v>
      </c>
      <c r="D153" t="s">
        <v>53</v>
      </c>
      <c r="E153" s="3">
        <v>22</v>
      </c>
      <c r="F153">
        <f t="shared" si="7"/>
        <v>0</v>
      </c>
    </row>
    <row r="154" spans="1:6" x14ac:dyDescent="0.3">
      <c r="A154">
        <v>1010</v>
      </c>
      <c r="B154" t="s">
        <v>17</v>
      </c>
      <c r="C154" t="s">
        <v>52</v>
      </c>
      <c r="D154" t="s">
        <v>53</v>
      </c>
      <c r="E154" s="3">
        <v>8</v>
      </c>
      <c r="F154">
        <f t="shared" si="7"/>
        <v>0</v>
      </c>
    </row>
    <row r="155" spans="1:6" x14ac:dyDescent="0.3">
      <c r="A155">
        <v>1011</v>
      </c>
      <c r="B155" t="s">
        <v>18</v>
      </c>
      <c r="C155" t="s">
        <v>52</v>
      </c>
      <c r="D155" t="s">
        <v>53</v>
      </c>
      <c r="E155" s="3">
        <v>100</v>
      </c>
      <c r="F155">
        <f t="shared" si="7"/>
        <v>1</v>
      </c>
    </row>
    <row r="156" spans="1:6" x14ac:dyDescent="0.3">
      <c r="A156">
        <v>1012</v>
      </c>
      <c r="B156" t="s">
        <v>19</v>
      </c>
      <c r="C156" t="s">
        <v>52</v>
      </c>
      <c r="D156" t="s">
        <v>53</v>
      </c>
      <c r="E156" s="3">
        <v>49</v>
      </c>
      <c r="F156">
        <f t="shared" si="7"/>
        <v>0</v>
      </c>
    </row>
    <row r="157" spans="1:6" x14ac:dyDescent="0.3">
      <c r="A157">
        <v>1013</v>
      </c>
      <c r="B157" t="s">
        <v>20</v>
      </c>
      <c r="C157" t="s">
        <v>52</v>
      </c>
      <c r="D157" t="s">
        <v>53</v>
      </c>
      <c r="E157" s="3">
        <v>70</v>
      </c>
      <c r="F157">
        <f t="shared" si="7"/>
        <v>1</v>
      </c>
    </row>
    <row r="158" spans="1:6" x14ac:dyDescent="0.3">
      <c r="A158">
        <v>1014</v>
      </c>
      <c r="B158" t="s">
        <v>21</v>
      </c>
      <c r="C158" t="s">
        <v>52</v>
      </c>
      <c r="D158" t="s">
        <v>53</v>
      </c>
      <c r="E158" s="3">
        <v>86</v>
      </c>
      <c r="F158">
        <f t="shared" si="7"/>
        <v>1</v>
      </c>
    </row>
    <row r="159" spans="1:6" x14ac:dyDescent="0.3">
      <c r="A159">
        <v>1015</v>
      </c>
      <c r="B159" t="s">
        <v>22</v>
      </c>
      <c r="C159" t="s">
        <v>52</v>
      </c>
      <c r="D159" t="s">
        <v>53</v>
      </c>
      <c r="E159" s="3">
        <v>15</v>
      </c>
      <c r="F159">
        <f t="shared" si="7"/>
        <v>0</v>
      </c>
    </row>
    <row r="160" spans="1:6" x14ac:dyDescent="0.3">
      <c r="A160">
        <v>1016</v>
      </c>
      <c r="B160" t="s">
        <v>23</v>
      </c>
      <c r="C160" t="s">
        <v>52</v>
      </c>
      <c r="D160" t="s">
        <v>53</v>
      </c>
      <c r="E160" s="3">
        <v>95</v>
      </c>
      <c r="F160">
        <f t="shared" si="7"/>
        <v>1</v>
      </c>
    </row>
    <row r="161" spans="1:6" x14ac:dyDescent="0.3">
      <c r="A161">
        <v>1017</v>
      </c>
      <c r="B161" t="s">
        <v>24</v>
      </c>
      <c r="C161" t="s">
        <v>52</v>
      </c>
      <c r="D161" t="s">
        <v>53</v>
      </c>
      <c r="E161" s="3">
        <v>77</v>
      </c>
      <c r="F161">
        <f t="shared" si="7"/>
        <v>1</v>
      </c>
    </row>
    <row r="162" spans="1:6" x14ac:dyDescent="0.3">
      <c r="A162">
        <v>1018</v>
      </c>
      <c r="B162" t="s">
        <v>25</v>
      </c>
      <c r="C162" t="s">
        <v>52</v>
      </c>
      <c r="D162" t="s">
        <v>53</v>
      </c>
      <c r="E162" s="3">
        <v>20</v>
      </c>
      <c r="F162">
        <f t="shared" si="7"/>
        <v>0</v>
      </c>
    </row>
    <row r="163" spans="1:6" x14ac:dyDescent="0.3">
      <c r="A163">
        <v>1019</v>
      </c>
      <c r="B163" t="s">
        <v>26</v>
      </c>
      <c r="C163" t="s">
        <v>52</v>
      </c>
      <c r="D163" t="s">
        <v>53</v>
      </c>
      <c r="E163" s="3">
        <v>31</v>
      </c>
      <c r="F163">
        <f t="shared" si="7"/>
        <v>0</v>
      </c>
    </row>
    <row r="164" spans="1:6" x14ac:dyDescent="0.3">
      <c r="A164">
        <v>1020</v>
      </c>
      <c r="B164" t="s">
        <v>27</v>
      </c>
      <c r="C164" t="s">
        <v>52</v>
      </c>
      <c r="D164" t="s">
        <v>53</v>
      </c>
      <c r="E164" s="3">
        <v>48</v>
      </c>
      <c r="F164">
        <f t="shared" si="7"/>
        <v>0</v>
      </c>
    </row>
    <row r="165" spans="1:6" x14ac:dyDescent="0.3">
      <c r="A165">
        <v>1021</v>
      </c>
      <c r="B165" t="s">
        <v>28</v>
      </c>
      <c r="C165" t="s">
        <v>52</v>
      </c>
      <c r="D165" t="s">
        <v>53</v>
      </c>
      <c r="E165" s="3">
        <v>26</v>
      </c>
      <c r="F165">
        <f t="shared" si="7"/>
        <v>0</v>
      </c>
    </row>
    <row r="166" spans="1:6" x14ac:dyDescent="0.3">
      <c r="A166">
        <v>1021</v>
      </c>
      <c r="B166" t="s">
        <v>28</v>
      </c>
      <c r="C166" t="s">
        <v>52</v>
      </c>
      <c r="D166" t="s">
        <v>53</v>
      </c>
      <c r="E166" s="3">
        <v>26</v>
      </c>
      <c r="F166">
        <f t="shared" ref="F166" si="8">IF(E166&gt;=60,1,0)</f>
        <v>0</v>
      </c>
    </row>
    <row r="167" spans="1:6" x14ac:dyDescent="0.3">
      <c r="A167">
        <v>1001</v>
      </c>
      <c r="B167" t="s">
        <v>6</v>
      </c>
      <c r="C167" t="s">
        <v>54</v>
      </c>
      <c r="D167" t="s">
        <v>55</v>
      </c>
      <c r="E167" s="3">
        <v>70</v>
      </c>
      <c r="F167">
        <f>IF(E167&gt;=60,1,0)</f>
        <v>1</v>
      </c>
    </row>
    <row r="168" spans="1:6" x14ac:dyDescent="0.3">
      <c r="A168">
        <v>1002</v>
      </c>
      <c r="B168" t="s">
        <v>9</v>
      </c>
      <c r="C168" t="s">
        <v>54</v>
      </c>
      <c r="D168" t="s">
        <v>55</v>
      </c>
      <c r="E168" s="3">
        <v>37</v>
      </c>
      <c r="F168">
        <f t="shared" ref="F168:F205" si="9">IF(E168&gt;=60,1,0)</f>
        <v>0</v>
      </c>
    </row>
    <row r="169" spans="1:6" x14ac:dyDescent="0.3">
      <c r="A169">
        <v>1003</v>
      </c>
      <c r="B169" t="s">
        <v>10</v>
      </c>
      <c r="C169" t="s">
        <v>54</v>
      </c>
      <c r="D169" t="s">
        <v>55</v>
      </c>
      <c r="E169" s="3">
        <v>68</v>
      </c>
      <c r="F169">
        <f t="shared" si="9"/>
        <v>1</v>
      </c>
    </row>
    <row r="170" spans="1:6" x14ac:dyDescent="0.3">
      <c r="A170">
        <v>1004</v>
      </c>
      <c r="B170" t="s">
        <v>11</v>
      </c>
      <c r="C170" t="s">
        <v>54</v>
      </c>
      <c r="D170" t="s">
        <v>55</v>
      </c>
      <c r="E170" s="3">
        <v>60</v>
      </c>
      <c r="F170">
        <f t="shared" si="9"/>
        <v>1</v>
      </c>
    </row>
    <row r="171" spans="1:6" x14ac:dyDescent="0.3">
      <c r="A171">
        <v>1005</v>
      </c>
      <c r="B171" t="s">
        <v>12</v>
      </c>
      <c r="C171" t="s">
        <v>54</v>
      </c>
      <c r="D171" t="s">
        <v>55</v>
      </c>
      <c r="E171" s="3">
        <v>98</v>
      </c>
      <c r="F171">
        <f t="shared" si="9"/>
        <v>1</v>
      </c>
    </row>
    <row r="172" spans="1:6" x14ac:dyDescent="0.3">
      <c r="A172">
        <v>1006</v>
      </c>
      <c r="B172" t="s">
        <v>13</v>
      </c>
      <c r="C172" t="s">
        <v>54</v>
      </c>
      <c r="D172" t="s">
        <v>55</v>
      </c>
      <c r="E172" s="3">
        <v>20</v>
      </c>
      <c r="F172">
        <f t="shared" si="9"/>
        <v>0</v>
      </c>
    </row>
    <row r="173" spans="1:6" x14ac:dyDescent="0.3">
      <c r="A173">
        <v>1007</v>
      </c>
      <c r="B173" t="s">
        <v>14</v>
      </c>
      <c r="C173" t="s">
        <v>54</v>
      </c>
      <c r="D173" t="s">
        <v>55</v>
      </c>
      <c r="E173" s="3">
        <v>32</v>
      </c>
      <c r="F173">
        <f t="shared" si="9"/>
        <v>0</v>
      </c>
    </row>
    <row r="174" spans="1:6" x14ac:dyDescent="0.3">
      <c r="A174">
        <v>1008</v>
      </c>
      <c r="B174" t="s">
        <v>15</v>
      </c>
      <c r="C174" t="s">
        <v>54</v>
      </c>
      <c r="D174" t="s">
        <v>55</v>
      </c>
      <c r="E174" s="3">
        <v>40</v>
      </c>
      <c r="F174">
        <f t="shared" si="9"/>
        <v>0</v>
      </c>
    </row>
    <row r="175" spans="1:6" x14ac:dyDescent="0.3">
      <c r="A175">
        <v>1009</v>
      </c>
      <c r="B175" t="s">
        <v>16</v>
      </c>
      <c r="C175" t="s">
        <v>54</v>
      </c>
      <c r="D175" t="s">
        <v>55</v>
      </c>
      <c r="E175" s="3">
        <v>97</v>
      </c>
      <c r="F175">
        <f t="shared" si="9"/>
        <v>1</v>
      </c>
    </row>
    <row r="176" spans="1:6" x14ac:dyDescent="0.3">
      <c r="A176">
        <v>1010</v>
      </c>
      <c r="B176" t="s">
        <v>17</v>
      </c>
      <c r="C176" t="s">
        <v>54</v>
      </c>
      <c r="D176" t="s">
        <v>55</v>
      </c>
      <c r="E176" s="3">
        <v>1</v>
      </c>
      <c r="F176">
        <f t="shared" si="9"/>
        <v>0</v>
      </c>
    </row>
    <row r="177" spans="1:6" x14ac:dyDescent="0.3">
      <c r="A177">
        <v>1011</v>
      </c>
      <c r="B177" t="s">
        <v>18</v>
      </c>
      <c r="C177" t="s">
        <v>54</v>
      </c>
      <c r="D177" t="s">
        <v>55</v>
      </c>
      <c r="E177" s="3">
        <v>6</v>
      </c>
      <c r="F177">
        <f t="shared" si="9"/>
        <v>0</v>
      </c>
    </row>
    <row r="178" spans="1:6" x14ac:dyDescent="0.3">
      <c r="A178">
        <v>1012</v>
      </c>
      <c r="B178" t="s">
        <v>19</v>
      </c>
      <c r="C178" t="s">
        <v>54</v>
      </c>
      <c r="D178" t="s">
        <v>55</v>
      </c>
      <c r="E178" s="3">
        <v>39</v>
      </c>
      <c r="F178">
        <f t="shared" si="9"/>
        <v>0</v>
      </c>
    </row>
    <row r="179" spans="1:6" x14ac:dyDescent="0.3">
      <c r="A179">
        <v>1013</v>
      </c>
      <c r="B179" t="s">
        <v>20</v>
      </c>
      <c r="C179" t="s">
        <v>54</v>
      </c>
      <c r="D179" t="s">
        <v>55</v>
      </c>
      <c r="E179" s="3">
        <v>68</v>
      </c>
      <c r="F179">
        <f t="shared" si="9"/>
        <v>1</v>
      </c>
    </row>
    <row r="180" spans="1:6" x14ac:dyDescent="0.3">
      <c r="A180">
        <v>1014</v>
      </c>
      <c r="B180" t="s">
        <v>21</v>
      </c>
      <c r="C180" t="s">
        <v>54</v>
      </c>
      <c r="D180" t="s">
        <v>55</v>
      </c>
      <c r="E180" s="3">
        <v>37</v>
      </c>
      <c r="F180">
        <f t="shared" si="9"/>
        <v>0</v>
      </c>
    </row>
    <row r="181" spans="1:6" x14ac:dyDescent="0.3">
      <c r="A181">
        <v>1015</v>
      </c>
      <c r="B181" t="s">
        <v>22</v>
      </c>
      <c r="C181" t="s">
        <v>54</v>
      </c>
      <c r="D181" t="s">
        <v>55</v>
      </c>
      <c r="E181" s="3">
        <v>37</v>
      </c>
      <c r="F181">
        <f t="shared" si="9"/>
        <v>0</v>
      </c>
    </row>
    <row r="182" spans="1:6" x14ac:dyDescent="0.3">
      <c r="A182">
        <v>1016</v>
      </c>
      <c r="B182" t="s">
        <v>23</v>
      </c>
      <c r="C182" t="s">
        <v>54</v>
      </c>
      <c r="D182" t="s">
        <v>55</v>
      </c>
      <c r="E182" s="3">
        <v>90</v>
      </c>
      <c r="F182">
        <f t="shared" si="9"/>
        <v>1</v>
      </c>
    </row>
    <row r="183" spans="1:6" x14ac:dyDescent="0.3">
      <c r="A183">
        <v>1017</v>
      </c>
      <c r="B183" t="s">
        <v>24</v>
      </c>
      <c r="C183" t="s">
        <v>54</v>
      </c>
      <c r="D183" t="s">
        <v>55</v>
      </c>
      <c r="E183" s="3">
        <v>38</v>
      </c>
      <c r="F183">
        <f t="shared" si="9"/>
        <v>0</v>
      </c>
    </row>
    <row r="184" spans="1:6" x14ac:dyDescent="0.3">
      <c r="A184">
        <v>1018</v>
      </c>
      <c r="B184" t="s">
        <v>25</v>
      </c>
      <c r="C184" t="s">
        <v>54</v>
      </c>
      <c r="D184" t="s">
        <v>55</v>
      </c>
      <c r="E184" s="3">
        <v>87</v>
      </c>
      <c r="F184">
        <f t="shared" si="9"/>
        <v>1</v>
      </c>
    </row>
    <row r="185" spans="1:6" x14ac:dyDescent="0.3">
      <c r="A185">
        <v>1019</v>
      </c>
      <c r="B185" t="s">
        <v>26</v>
      </c>
      <c r="C185" t="s">
        <v>54</v>
      </c>
      <c r="D185" t="s">
        <v>55</v>
      </c>
      <c r="E185" s="3">
        <v>45</v>
      </c>
      <c r="F185">
        <f t="shared" si="9"/>
        <v>0</v>
      </c>
    </row>
    <row r="186" spans="1:6" x14ac:dyDescent="0.3">
      <c r="A186">
        <v>1020</v>
      </c>
      <c r="B186" t="s">
        <v>27</v>
      </c>
      <c r="C186" t="s">
        <v>54</v>
      </c>
      <c r="D186" t="s">
        <v>55</v>
      </c>
      <c r="E186" s="3">
        <v>73</v>
      </c>
      <c r="F186">
        <f t="shared" si="9"/>
        <v>1</v>
      </c>
    </row>
    <row r="187" spans="1:6" x14ac:dyDescent="0.3">
      <c r="A187">
        <v>1021</v>
      </c>
      <c r="B187" t="s">
        <v>28</v>
      </c>
      <c r="C187" t="s">
        <v>54</v>
      </c>
      <c r="D187" t="s">
        <v>55</v>
      </c>
      <c r="E187" s="3">
        <v>36</v>
      </c>
      <c r="F187">
        <f t="shared" si="9"/>
        <v>0</v>
      </c>
    </row>
    <row r="188" spans="1:6" x14ac:dyDescent="0.3">
      <c r="A188">
        <v>1022</v>
      </c>
      <c r="B188" t="s">
        <v>29</v>
      </c>
      <c r="C188" t="s">
        <v>54</v>
      </c>
      <c r="D188" t="s">
        <v>55</v>
      </c>
      <c r="E188" s="3">
        <v>35</v>
      </c>
      <c r="F188">
        <f t="shared" si="9"/>
        <v>0</v>
      </c>
    </row>
    <row r="189" spans="1:6" x14ac:dyDescent="0.3">
      <c r="A189">
        <v>1023</v>
      </c>
      <c r="B189" t="s">
        <v>30</v>
      </c>
      <c r="C189" t="s">
        <v>54</v>
      </c>
      <c r="D189" t="s">
        <v>55</v>
      </c>
      <c r="E189" s="3">
        <v>85</v>
      </c>
      <c r="F189">
        <f t="shared" si="9"/>
        <v>1</v>
      </c>
    </row>
    <row r="190" spans="1:6" x14ac:dyDescent="0.3">
      <c r="A190">
        <v>1024</v>
      </c>
      <c r="B190" t="s">
        <v>31</v>
      </c>
      <c r="C190" t="s">
        <v>54</v>
      </c>
      <c r="D190" t="s">
        <v>55</v>
      </c>
      <c r="E190" s="3">
        <v>7</v>
      </c>
      <c r="F190">
        <f t="shared" si="9"/>
        <v>0</v>
      </c>
    </row>
    <row r="191" spans="1:6" x14ac:dyDescent="0.3">
      <c r="A191">
        <v>1025</v>
      </c>
      <c r="B191" t="s">
        <v>32</v>
      </c>
      <c r="C191" t="s">
        <v>54</v>
      </c>
      <c r="D191" t="s">
        <v>55</v>
      </c>
      <c r="E191" s="3">
        <v>67</v>
      </c>
      <c r="F191">
        <f t="shared" si="9"/>
        <v>1</v>
      </c>
    </row>
    <row r="192" spans="1:6" x14ac:dyDescent="0.3">
      <c r="A192">
        <v>1026</v>
      </c>
      <c r="B192" t="s">
        <v>33</v>
      </c>
      <c r="C192" t="s">
        <v>54</v>
      </c>
      <c r="D192" t="s">
        <v>55</v>
      </c>
      <c r="E192" s="3">
        <v>80</v>
      </c>
      <c r="F192">
        <f t="shared" si="9"/>
        <v>1</v>
      </c>
    </row>
    <row r="193" spans="1:6" x14ac:dyDescent="0.3">
      <c r="A193">
        <v>1027</v>
      </c>
      <c r="B193" t="s">
        <v>34</v>
      </c>
      <c r="C193" t="s">
        <v>54</v>
      </c>
      <c r="D193" t="s">
        <v>55</v>
      </c>
      <c r="E193" s="3">
        <v>55</v>
      </c>
      <c r="F193">
        <f t="shared" si="9"/>
        <v>0</v>
      </c>
    </row>
    <row r="194" spans="1:6" x14ac:dyDescent="0.3">
      <c r="A194">
        <v>1028</v>
      </c>
      <c r="B194" t="s">
        <v>35</v>
      </c>
      <c r="C194" t="s">
        <v>54</v>
      </c>
      <c r="D194" t="s">
        <v>55</v>
      </c>
      <c r="E194" s="3">
        <v>83</v>
      </c>
      <c r="F194">
        <f t="shared" si="9"/>
        <v>1</v>
      </c>
    </row>
    <row r="195" spans="1:6" x14ac:dyDescent="0.3">
      <c r="A195">
        <v>1029</v>
      </c>
      <c r="B195" t="s">
        <v>36</v>
      </c>
      <c r="C195" t="s">
        <v>54</v>
      </c>
      <c r="D195" t="s">
        <v>55</v>
      </c>
      <c r="E195" s="3">
        <v>67</v>
      </c>
      <c r="F195">
        <f t="shared" si="9"/>
        <v>1</v>
      </c>
    </row>
    <row r="196" spans="1:6" x14ac:dyDescent="0.3">
      <c r="A196">
        <v>1030</v>
      </c>
      <c r="B196" t="s">
        <v>37</v>
      </c>
      <c r="C196" t="s">
        <v>54</v>
      </c>
      <c r="D196" t="s">
        <v>55</v>
      </c>
      <c r="E196" s="3">
        <v>27</v>
      </c>
      <c r="F196">
        <f t="shared" si="9"/>
        <v>0</v>
      </c>
    </row>
    <row r="197" spans="1:6" x14ac:dyDescent="0.3">
      <c r="A197">
        <v>1031</v>
      </c>
      <c r="B197" t="s">
        <v>38</v>
      </c>
      <c r="C197" t="s">
        <v>54</v>
      </c>
      <c r="D197" t="s">
        <v>55</v>
      </c>
      <c r="E197" s="3">
        <v>94</v>
      </c>
      <c r="F197">
        <f t="shared" si="9"/>
        <v>1</v>
      </c>
    </row>
    <row r="198" spans="1:6" x14ac:dyDescent="0.3">
      <c r="A198">
        <v>1032</v>
      </c>
      <c r="B198" t="s">
        <v>39</v>
      </c>
      <c r="C198" t="s">
        <v>54</v>
      </c>
      <c r="D198" t="s">
        <v>55</v>
      </c>
      <c r="E198" s="3">
        <v>96</v>
      </c>
      <c r="F198">
        <f t="shared" si="9"/>
        <v>1</v>
      </c>
    </row>
    <row r="199" spans="1:6" x14ac:dyDescent="0.3">
      <c r="A199">
        <v>1033</v>
      </c>
      <c r="B199" t="s">
        <v>40</v>
      </c>
      <c r="C199" t="s">
        <v>54</v>
      </c>
      <c r="D199" t="s">
        <v>55</v>
      </c>
      <c r="E199" s="3">
        <v>99</v>
      </c>
      <c r="F199">
        <f t="shared" si="9"/>
        <v>1</v>
      </c>
    </row>
    <row r="200" spans="1:6" x14ac:dyDescent="0.3">
      <c r="A200">
        <v>1034</v>
      </c>
      <c r="B200" t="s">
        <v>41</v>
      </c>
      <c r="C200" t="s">
        <v>54</v>
      </c>
      <c r="D200" t="s">
        <v>55</v>
      </c>
      <c r="E200" s="3">
        <v>64</v>
      </c>
      <c r="F200">
        <f t="shared" si="9"/>
        <v>1</v>
      </c>
    </row>
    <row r="201" spans="1:6" x14ac:dyDescent="0.3">
      <c r="A201">
        <v>1035</v>
      </c>
      <c r="B201" t="s">
        <v>42</v>
      </c>
      <c r="C201" t="s">
        <v>54</v>
      </c>
      <c r="D201" t="s">
        <v>55</v>
      </c>
      <c r="E201" s="3">
        <v>52</v>
      </c>
      <c r="F201">
        <f t="shared" si="9"/>
        <v>0</v>
      </c>
    </row>
    <row r="202" spans="1:6" x14ac:dyDescent="0.3">
      <c r="A202">
        <v>1036</v>
      </c>
      <c r="B202" t="s">
        <v>43</v>
      </c>
      <c r="C202" t="s">
        <v>54</v>
      </c>
      <c r="D202" t="s">
        <v>55</v>
      </c>
      <c r="E202" s="3">
        <v>16</v>
      </c>
      <c r="F202">
        <f t="shared" si="9"/>
        <v>0</v>
      </c>
    </row>
    <row r="203" spans="1:6" x14ac:dyDescent="0.3">
      <c r="A203">
        <v>1037</v>
      </c>
      <c r="B203" t="s">
        <v>44</v>
      </c>
      <c r="C203" t="s">
        <v>54</v>
      </c>
      <c r="D203" t="s">
        <v>55</v>
      </c>
      <c r="E203" s="3">
        <v>34</v>
      </c>
      <c r="F203">
        <f t="shared" si="9"/>
        <v>0</v>
      </c>
    </row>
    <row r="204" spans="1:6" x14ac:dyDescent="0.3">
      <c r="A204">
        <v>1038</v>
      </c>
      <c r="B204" t="s">
        <v>45</v>
      </c>
      <c r="C204" t="s">
        <v>54</v>
      </c>
      <c r="D204" t="s">
        <v>55</v>
      </c>
      <c r="E204" s="3">
        <v>76</v>
      </c>
      <c r="F204">
        <f t="shared" si="9"/>
        <v>1</v>
      </c>
    </row>
    <row r="205" spans="1:6" x14ac:dyDescent="0.3">
      <c r="A205">
        <v>1039</v>
      </c>
      <c r="B205" t="s">
        <v>56</v>
      </c>
      <c r="C205" t="s">
        <v>54</v>
      </c>
      <c r="D205" t="s">
        <v>55</v>
      </c>
      <c r="E205" s="3">
        <v>96</v>
      </c>
      <c r="F205">
        <f t="shared" si="9"/>
        <v>1</v>
      </c>
    </row>
    <row r="206" spans="1:6" x14ac:dyDescent="0.3">
      <c r="A206">
        <v>1039</v>
      </c>
      <c r="B206" t="s">
        <v>56</v>
      </c>
      <c r="C206" t="s">
        <v>54</v>
      </c>
      <c r="D206" t="s">
        <v>55</v>
      </c>
      <c r="E206" s="3">
        <v>96</v>
      </c>
      <c r="F206">
        <f t="shared" ref="F206" si="10">IF(E206&gt;=60,1,0)</f>
        <v>1</v>
      </c>
    </row>
  </sheetData>
  <pageMargins left="0.7" right="0.7" top="0.75" bottom="0.75" header="0.3" footer="0.3"/>
  <tableParts count="2">
    <tablePart r:id="rId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BAC39-005C-41FB-B2CC-42EDC8974EE7}">
  <dimension ref="T20:T21"/>
  <sheetViews>
    <sheetView zoomScale="71" workbookViewId="0">
      <selection activeCell="Y7" sqref="Y7"/>
    </sheetView>
  </sheetViews>
  <sheetFormatPr defaultRowHeight="14.4" x14ac:dyDescent="0.3"/>
  <cols>
    <col min="19" max="19" width="11.5546875" customWidth="1"/>
    <col min="20" max="20" width="12.109375" customWidth="1"/>
  </cols>
  <sheetData>
    <row r="20" spans="20:20" ht="14.4" customHeight="1" x14ac:dyDescent="0.3"/>
    <row r="21" spans="20:20" ht="16.8" customHeight="1" x14ac:dyDescent="0.6">
      <c r="T21"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Biology</vt:lpstr>
      <vt:lpstr>Chemistry</vt:lpstr>
      <vt:lpstr>Mathematics</vt:lpstr>
      <vt:lpstr>Philosophy</vt:lpstr>
      <vt:lpstr>Physics</vt:lpstr>
      <vt:lpstr>Sociology</vt:lpstr>
      <vt:lpstr>Sheet16</vt:lpstr>
      <vt:lpstr>Sheet17</vt:lpstr>
      <vt:lpstr>Sheet18</vt:lpstr>
      <vt:lpstr>Sheet19</vt:lpstr>
      <vt:lpstr>Additional Details</vt:lpstr>
      <vt:lpstr>Exam_Table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Nisha Kumari</dc:creator>
  <cp:lastModifiedBy>Rushi Thorat</cp:lastModifiedBy>
  <dcterms:created xsi:type="dcterms:W3CDTF">2024-11-18T04:47:18Z</dcterms:created>
  <dcterms:modified xsi:type="dcterms:W3CDTF">2025-11-03T09:36:47Z</dcterms:modified>
</cp:coreProperties>
</file>